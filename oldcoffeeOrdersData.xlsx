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jatin\OneDrive\Documents\"/>
    </mc:Choice>
  </mc:AlternateContent>
  <xr:revisionPtr revIDLastSave="0" documentId="13_ncr:1_{533FC2C5-E320-4495-B25C-CFC3C9EEBC14}" xr6:coauthVersionLast="47" xr6:coauthVersionMax="47" xr10:uidLastSave="{00000000-0000-0000-0000-000000000000}"/>
  <bookViews>
    <workbookView xWindow="9288" yWindow="3360" windowWidth="13752" windowHeight="8880" activeTab="1" xr2:uid="{00000000-000D-0000-FFFF-FFFF00000000}"/>
  </bookViews>
  <sheets>
    <sheet name="Pivot table" sheetId="18" r:id="rId1"/>
    <sheet name="dashboard" sheetId="19" r:id="rId2"/>
    <sheet name="orders" sheetId="17" r:id="rId3"/>
    <sheet name="customers" sheetId="13" r:id="rId4"/>
    <sheet name="Product" sheetId="2" r:id="rId5"/>
  </sheets>
  <definedNames>
    <definedName name="_xlnm._FilterDatabase" localSheetId="2" hidden="1">orders!$A$1:$M$1001</definedName>
    <definedName name="_xlnm._FilterDatabase" localSheetId="4" hidden="1">Product!$A$1:$G$49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9" i="17"/>
  <c r="M29" i="17" s="1"/>
  <c r="L30" i="17"/>
  <c r="M30" i="17" s="1"/>
  <c r="L31" i="17"/>
  <c r="M31" i="17" s="1"/>
  <c r="L37" i="17"/>
  <c r="M37" i="17" s="1"/>
  <c r="L40" i="17"/>
  <c r="M40" i="17" s="1"/>
  <c r="L50" i="17"/>
  <c r="M50" i="17" s="1"/>
  <c r="L51" i="17"/>
  <c r="M51" i="17" s="1"/>
  <c r="L55" i="17"/>
  <c r="M55" i="17" s="1"/>
  <c r="L62" i="17"/>
  <c r="M62" i="17" s="1"/>
  <c r="L64" i="17"/>
  <c r="M64" i="17" s="1"/>
  <c r="L66" i="17"/>
  <c r="M66" i="17"/>
  <c r="L67" i="17"/>
  <c r="M67" i="17"/>
  <c r="L71" i="17"/>
  <c r="M71" i="17" s="1"/>
  <c r="L73" i="17"/>
  <c r="M73" i="17" s="1"/>
  <c r="L75" i="17"/>
  <c r="M75" i="17" s="1"/>
  <c r="L79" i="17"/>
  <c r="M79" i="17" s="1"/>
  <c r="L85" i="17"/>
  <c r="M85" i="17" s="1"/>
  <c r="L87" i="17"/>
  <c r="M87" i="17" s="1"/>
  <c r="L88" i="17"/>
  <c r="M88" i="17" s="1"/>
  <c r="L91" i="17"/>
  <c r="M91" i="17"/>
  <c r="L96" i="17"/>
  <c r="M96" i="17" s="1"/>
  <c r="L100" i="17"/>
  <c r="M100" i="17" s="1"/>
  <c r="L102" i="17"/>
  <c r="M102" i="17" s="1"/>
  <c r="L104" i="17"/>
  <c r="M104" i="17" s="1"/>
  <c r="L105" i="17"/>
  <c r="M105" i="17" s="1"/>
  <c r="L107" i="17"/>
  <c r="M107" i="17"/>
  <c r="L109" i="17"/>
  <c r="M109" i="17" s="1"/>
  <c r="L110" i="17"/>
  <c r="M110" i="17" s="1"/>
  <c r="L113" i="17"/>
  <c r="M113" i="17" s="1"/>
  <c r="L114" i="17"/>
  <c r="M114" i="17"/>
  <c r="L120" i="17"/>
  <c r="M120" i="17" s="1"/>
  <c r="L125" i="17"/>
  <c r="M125" i="17" s="1"/>
  <c r="L126" i="17"/>
  <c r="M126" i="17" s="1"/>
  <c r="L127" i="17"/>
  <c r="M127" i="17" s="1"/>
  <c r="L128" i="17"/>
  <c r="M128" i="17"/>
  <c r="L129" i="17"/>
  <c r="M129" i="17"/>
  <c r="L130" i="17"/>
  <c r="M130" i="17" s="1"/>
  <c r="L132" i="17"/>
  <c r="M132" i="17" s="1"/>
  <c r="L134" i="17"/>
  <c r="M134" i="17" s="1"/>
  <c r="L135" i="17"/>
  <c r="M135" i="17" s="1"/>
  <c r="L137" i="17"/>
  <c r="M137" i="17"/>
  <c r="L138" i="17"/>
  <c r="M138" i="17"/>
  <c r="L141" i="17"/>
  <c r="M141" i="17" s="1"/>
  <c r="L144" i="17"/>
  <c r="M144" i="17" s="1"/>
  <c r="L148" i="17"/>
  <c r="M148" i="17" s="1"/>
  <c r="L149" i="17"/>
  <c r="M149" i="17" s="1"/>
  <c r="L152" i="17"/>
  <c r="M152" i="17" s="1"/>
  <c r="L153" i="17"/>
  <c r="M153" i="17"/>
  <c r="L156" i="17"/>
  <c r="M156" i="17" s="1"/>
  <c r="L157" i="17"/>
  <c r="M157" i="17" s="1"/>
  <c r="L158" i="17"/>
  <c r="M158" i="17" s="1"/>
  <c r="L164" i="17"/>
  <c r="M164" i="17" s="1"/>
  <c r="L167" i="17"/>
  <c r="M167" i="17" s="1"/>
  <c r="L168" i="17"/>
  <c r="M168" i="17"/>
  <c r="L169" i="17"/>
  <c r="M169" i="17" s="1"/>
  <c r="L170" i="17"/>
  <c r="M170" i="17" s="1"/>
  <c r="L172" i="17"/>
  <c r="M172" i="17" s="1"/>
  <c r="L173" i="17"/>
  <c r="M173" i="17" s="1"/>
  <c r="L174" i="17"/>
  <c r="M174" i="17" s="1"/>
  <c r="L175" i="17"/>
  <c r="M175" i="17" s="1"/>
  <c r="L177" i="17"/>
  <c r="M177" i="17" s="1"/>
  <c r="L181" i="17"/>
  <c r="M181" i="17" s="1"/>
  <c r="L183" i="17"/>
  <c r="M183" i="17" s="1"/>
  <c r="L188" i="17"/>
  <c r="M188" i="17" s="1"/>
  <c r="L191" i="17"/>
  <c r="M191" i="17" s="1"/>
  <c r="L195" i="17"/>
  <c r="M195" i="17" s="1"/>
  <c r="L196" i="17"/>
  <c r="M196" i="17" s="1"/>
  <c r="L197" i="17"/>
  <c r="M197" i="17" s="1"/>
  <c r="L200" i="17"/>
  <c r="M200" i="17" s="1"/>
  <c r="L201" i="17"/>
  <c r="M201" i="17" s="1"/>
  <c r="L203" i="17"/>
  <c r="M203" i="17" s="1"/>
  <c r="L204" i="17"/>
  <c r="M204" i="17" s="1"/>
  <c r="L205" i="17"/>
  <c r="M205" i="17" s="1"/>
  <c r="L207" i="17"/>
  <c r="M207" i="17"/>
  <c r="L209" i="17"/>
  <c r="M209" i="17"/>
  <c r="L210" i="17"/>
  <c r="M210" i="17"/>
  <c r="L211" i="17"/>
  <c r="M211" i="17"/>
  <c r="L212" i="17"/>
  <c r="M212" i="17"/>
  <c r="L213" i="17"/>
  <c r="M213" i="17" s="1"/>
  <c r="L214" i="17"/>
  <c r="M214" i="17" s="1"/>
  <c r="L219" i="17"/>
  <c r="M219" i="17" s="1"/>
  <c r="L223" i="17"/>
  <c r="M223" i="17" s="1"/>
  <c r="L224" i="17"/>
  <c r="M224" i="17" s="1"/>
  <c r="L225" i="17"/>
  <c r="M225" i="17" s="1"/>
  <c r="L227" i="17"/>
  <c r="M227" i="17" s="1"/>
  <c r="L229" i="17"/>
  <c r="M229" i="17"/>
  <c r="L231" i="17"/>
  <c r="M231" i="17"/>
  <c r="L232" i="17"/>
  <c r="M232" i="17"/>
  <c r="L233" i="17"/>
  <c r="M233" i="17"/>
  <c r="L234" i="17"/>
  <c r="M234" i="17"/>
  <c r="L238" i="17"/>
  <c r="M238" i="17" s="1"/>
  <c r="L239" i="17"/>
  <c r="M239" i="17" s="1"/>
  <c r="L241" i="17"/>
  <c r="M241" i="17" s="1"/>
  <c r="L242" i="17"/>
  <c r="M242" i="17"/>
  <c r="L243" i="17"/>
  <c r="M243" i="17"/>
  <c r="L245" i="17"/>
  <c r="M245" i="17"/>
  <c r="L247" i="17"/>
  <c r="M247" i="17" s="1"/>
  <c r="L248" i="17"/>
  <c r="M248" i="17" s="1"/>
  <c r="L251" i="17"/>
  <c r="M251" i="17" s="1"/>
  <c r="L252" i="17"/>
  <c r="M252" i="17"/>
  <c r="L253" i="17"/>
  <c r="M253" i="17"/>
  <c r="L255" i="17"/>
  <c r="M255" i="17"/>
  <c r="L258" i="17"/>
  <c r="M258" i="17" s="1"/>
  <c r="L261" i="17"/>
  <c r="M261" i="17" s="1"/>
  <c r="L264" i="17"/>
  <c r="M264" i="17" s="1"/>
  <c r="L265" i="17"/>
  <c r="M265" i="17" s="1"/>
  <c r="L266" i="17"/>
  <c r="M266" i="17"/>
  <c r="L267" i="17"/>
  <c r="M267" i="17"/>
  <c r="L268" i="17"/>
  <c r="M268" i="17" s="1"/>
  <c r="L270" i="17"/>
  <c r="M270" i="17" s="1"/>
  <c r="L271" i="17"/>
  <c r="M271" i="17" s="1"/>
  <c r="L273" i="17"/>
  <c r="M273" i="17" s="1"/>
  <c r="L275" i="17"/>
  <c r="M275" i="17"/>
  <c r="L277" i="17"/>
  <c r="M277" i="17"/>
  <c r="L278" i="17"/>
  <c r="M278" i="17" s="1"/>
  <c r="L280" i="17"/>
  <c r="M280" i="17" s="1"/>
  <c r="L281" i="17"/>
  <c r="M281" i="17" s="1"/>
  <c r="L282" i="17"/>
  <c r="M282" i="17" s="1"/>
  <c r="L283" i="17"/>
  <c r="M283" i="17" s="1"/>
  <c r="L284" i="17"/>
  <c r="M284" i="17"/>
  <c r="L286" i="17"/>
  <c r="M286" i="17" s="1"/>
  <c r="L287" i="17"/>
  <c r="M287" i="17" s="1"/>
  <c r="L289" i="17"/>
  <c r="M289" i="17" s="1"/>
  <c r="L292" i="17"/>
  <c r="M292" i="17" s="1"/>
  <c r="L293" i="17"/>
  <c r="M293" i="17" s="1"/>
  <c r="L294" i="17"/>
  <c r="M294" i="17"/>
  <c r="L295" i="17"/>
  <c r="M295" i="17" s="1"/>
  <c r="L296" i="17"/>
  <c r="M296" i="17" s="1"/>
  <c r="L297" i="17"/>
  <c r="M297" i="17" s="1"/>
  <c r="L298" i="17"/>
  <c r="M298" i="17" s="1"/>
  <c r="L301" i="17"/>
  <c r="M301" i="17" s="1"/>
  <c r="L302" i="17"/>
  <c r="M302" i="17" s="1"/>
  <c r="L303" i="17"/>
  <c r="M303" i="17" s="1"/>
  <c r="L304" i="17"/>
  <c r="M304" i="17" s="1"/>
  <c r="L306" i="17"/>
  <c r="M306" i="17" s="1"/>
  <c r="L307" i="17"/>
  <c r="M307" i="17" s="1"/>
  <c r="L308" i="17"/>
  <c r="M308" i="17" s="1"/>
  <c r="L309" i="17"/>
  <c r="M309" i="17" s="1"/>
  <c r="L310" i="17"/>
  <c r="M310" i="17" s="1"/>
  <c r="L314" i="17"/>
  <c r="M314" i="17" s="1"/>
  <c r="L315" i="17"/>
  <c r="M315" i="17" s="1"/>
  <c r="L317" i="17"/>
  <c r="M317" i="17" s="1"/>
  <c r="L318" i="17"/>
  <c r="M318" i="17" s="1"/>
  <c r="L319" i="17"/>
  <c r="M319" i="17" s="1"/>
  <c r="L320" i="17"/>
  <c r="M320" i="17" s="1"/>
  <c r="L321" i="17"/>
  <c r="M321" i="17"/>
  <c r="L322" i="17"/>
  <c r="M322" i="17"/>
  <c r="L323" i="17"/>
  <c r="M323" i="17"/>
  <c r="L324" i="17"/>
  <c r="M324" i="17"/>
  <c r="L325" i="17"/>
  <c r="M325" i="17"/>
  <c r="L327" i="17"/>
  <c r="M327" i="17" s="1"/>
  <c r="L328" i="17"/>
  <c r="M328" i="17" s="1"/>
  <c r="L329" i="17"/>
  <c r="M329" i="17"/>
  <c r="L330" i="17"/>
  <c r="M330" i="17"/>
  <c r="L332" i="17"/>
  <c r="M332" i="17"/>
  <c r="L334" i="17"/>
  <c r="M334" i="17"/>
  <c r="L335" i="17"/>
  <c r="M335" i="17" s="1"/>
  <c r="L336" i="17"/>
  <c r="M336" i="17" s="1"/>
  <c r="L340" i="17"/>
  <c r="M340" i="17"/>
  <c r="L341" i="17"/>
  <c r="M341" i="17"/>
  <c r="L342" i="17"/>
  <c r="M342" i="17"/>
  <c r="L343" i="17"/>
  <c r="M343" i="17"/>
  <c r="L344" i="17"/>
  <c r="M344" i="17" s="1"/>
  <c r="L345" i="17"/>
  <c r="M345" i="17" s="1"/>
  <c r="L346" i="17"/>
  <c r="M346" i="17" s="1"/>
  <c r="L347" i="17"/>
  <c r="M347" i="17"/>
  <c r="L348" i="17"/>
  <c r="M348" i="17"/>
  <c r="L349" i="17"/>
  <c r="M349" i="17"/>
  <c r="L350" i="17"/>
  <c r="M350" i="17" s="1"/>
  <c r="L351" i="17"/>
  <c r="M351" i="17" s="1"/>
  <c r="L352" i="17"/>
  <c r="M352" i="17" s="1"/>
  <c r="L353" i="17"/>
  <c r="M353" i="17"/>
  <c r="L354" i="17"/>
  <c r="M354" i="17"/>
  <c r="L355" i="17"/>
  <c r="M355" i="17"/>
  <c r="L356" i="17"/>
  <c r="M356" i="17" s="1"/>
  <c r="L357" i="17"/>
  <c r="M357" i="17" s="1"/>
  <c r="L358" i="17"/>
  <c r="M358" i="17" s="1"/>
  <c r="L359" i="17"/>
  <c r="M359" i="17" s="1"/>
  <c r="L360" i="17"/>
  <c r="M360" i="17"/>
  <c r="L361" i="17"/>
  <c r="M361" i="17"/>
  <c r="L362" i="17"/>
  <c r="M362" i="17" s="1"/>
  <c r="L363" i="17"/>
  <c r="M363" i="17" s="1"/>
  <c r="L365" i="17"/>
  <c r="M365" i="17" s="1"/>
  <c r="L366" i="17"/>
  <c r="M366" i="17" s="1"/>
  <c r="L367" i="17"/>
  <c r="M367" i="17"/>
  <c r="L369" i="17"/>
  <c r="M369" i="17"/>
  <c r="L370" i="17"/>
  <c r="M370" i="17" s="1"/>
  <c r="L372" i="17"/>
  <c r="M372" i="17" s="1"/>
  <c r="L375" i="17"/>
  <c r="M375" i="17" s="1"/>
  <c r="L376" i="17"/>
  <c r="M376" i="17" s="1"/>
  <c r="L378" i="17"/>
  <c r="M378" i="17" s="1"/>
  <c r="L379" i="17"/>
  <c r="M379" i="17"/>
  <c r="L380" i="17"/>
  <c r="M380" i="17" s="1"/>
  <c r="L381" i="17"/>
  <c r="M381" i="17" s="1"/>
  <c r="L382" i="17"/>
  <c r="M382" i="17" s="1"/>
  <c r="L383" i="17"/>
  <c r="M383" i="17" s="1"/>
  <c r="L384" i="17"/>
  <c r="M384" i="17" s="1"/>
  <c r="L385" i="17"/>
  <c r="M385" i="17"/>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3" i="17"/>
  <c r="M403" i="17" s="1"/>
  <c r="L405" i="17"/>
  <c r="M405" i="17" s="1"/>
  <c r="L406" i="17"/>
  <c r="M406" i="17" s="1"/>
  <c r="L408" i="17"/>
  <c r="M408" i="17" s="1"/>
  <c r="L410" i="17"/>
  <c r="M410" i="17"/>
  <c r="L411" i="17"/>
  <c r="M411" i="17"/>
  <c r="L412" i="17"/>
  <c r="M412" i="17"/>
  <c r="L413" i="17"/>
  <c r="M413" i="17"/>
  <c r="L414" i="17"/>
  <c r="M414" i="17"/>
  <c r="L415" i="17"/>
  <c r="M415" i="17" s="1"/>
  <c r="L416" i="17"/>
  <c r="M416" i="17" s="1"/>
  <c r="L418" i="17"/>
  <c r="M418" i="17"/>
  <c r="L419" i="17"/>
  <c r="M419" i="17"/>
  <c r="L420" i="17"/>
  <c r="M420" i="17"/>
  <c r="L422" i="17"/>
  <c r="M422" i="17"/>
  <c r="L424" i="17"/>
  <c r="M424" i="17" s="1"/>
  <c r="L425" i="17"/>
  <c r="M425" i="17" s="1"/>
  <c r="L427" i="17"/>
  <c r="M427" i="17"/>
  <c r="L428" i="17"/>
  <c r="M428" i="17"/>
  <c r="L429" i="17"/>
  <c r="M429" i="17"/>
  <c r="L430" i="17"/>
  <c r="M430" i="17"/>
  <c r="L431" i="17"/>
  <c r="M431" i="17" s="1"/>
  <c r="L434" i="17"/>
  <c r="M434" i="17" s="1"/>
  <c r="L437" i="17"/>
  <c r="M437" i="17" s="1"/>
  <c r="L438" i="17"/>
  <c r="M438" i="17"/>
  <c r="L439" i="17"/>
  <c r="M439" i="17"/>
  <c r="L440" i="17"/>
  <c r="M440" i="17"/>
  <c r="L441" i="17"/>
  <c r="M441" i="17" s="1"/>
  <c r="L442" i="17"/>
  <c r="M442" i="17" s="1"/>
  <c r="L443" i="17"/>
  <c r="M443" i="17" s="1"/>
  <c r="L445" i="17"/>
  <c r="M445" i="17"/>
  <c r="L448" i="17"/>
  <c r="M448" i="17"/>
  <c r="L449" i="17"/>
  <c r="M449" i="17"/>
  <c r="L450" i="17"/>
  <c r="M450" i="17" s="1"/>
  <c r="L451" i="17"/>
  <c r="M451" i="17" s="1"/>
  <c r="L452" i="17"/>
  <c r="M452" i="17" s="1"/>
  <c r="L453" i="17"/>
  <c r="M453" i="17" s="1"/>
  <c r="L454" i="17"/>
  <c r="M454" i="17"/>
  <c r="L455" i="17"/>
  <c r="M455" i="17"/>
  <c r="L456" i="17"/>
  <c r="M456" i="17" s="1"/>
  <c r="L457" i="17"/>
  <c r="M457" i="17" s="1"/>
  <c r="L458" i="17"/>
  <c r="M458" i="17" s="1"/>
  <c r="L460" i="17"/>
  <c r="M460" i="17" s="1"/>
  <c r="L461" i="17"/>
  <c r="M461" i="17"/>
  <c r="L462" i="17"/>
  <c r="M462" i="17"/>
  <c r="L464" i="17"/>
  <c r="M464" i="17" s="1"/>
  <c r="L465" i="17"/>
  <c r="M465" i="17" s="1"/>
  <c r="L466" i="17"/>
  <c r="M466" i="17" s="1"/>
  <c r="L467" i="17"/>
  <c r="M467" i="17" s="1"/>
  <c r="L468" i="17"/>
  <c r="M468" i="17" s="1"/>
  <c r="L469" i="17"/>
  <c r="M469" i="17"/>
  <c r="L470" i="17"/>
  <c r="M470" i="17" s="1"/>
  <c r="L471" i="17"/>
  <c r="M471" i="17" s="1"/>
  <c r="L472" i="17"/>
  <c r="M472" i="17" s="1"/>
  <c r="L473" i="17"/>
  <c r="M473" i="17" s="1"/>
  <c r="L474" i="17"/>
  <c r="M474" i="17" s="1"/>
  <c r="L475" i="17"/>
  <c r="M475" i="17"/>
  <c r="L477" i="17"/>
  <c r="M477" i="17" s="1"/>
  <c r="L478" i="17"/>
  <c r="M478" i="17" s="1"/>
  <c r="L479" i="17"/>
  <c r="M479" i="17" s="1"/>
  <c r="L480" i="17"/>
  <c r="M480" i="17" s="1"/>
  <c r="L482" i="17"/>
  <c r="M482" i="17" s="1"/>
  <c r="L484" i="17"/>
  <c r="M484" i="17" s="1"/>
  <c r="L485" i="17"/>
  <c r="M485" i="17" s="1"/>
  <c r="L486" i="17"/>
  <c r="M486" i="17" s="1"/>
  <c r="L487" i="17"/>
  <c r="M487" i="17" s="1"/>
  <c r="L488" i="17"/>
  <c r="M488" i="17" s="1"/>
  <c r="L489" i="17"/>
  <c r="M489" i="17" s="1"/>
  <c r="L490" i="17"/>
  <c r="M490" i="17" s="1"/>
  <c r="L492" i="17"/>
  <c r="M492" i="17" s="1"/>
  <c r="L493" i="17"/>
  <c r="M493" i="17" s="1"/>
  <c r="L494" i="17"/>
  <c r="M494" i="17" s="1"/>
  <c r="L495" i="17"/>
  <c r="M495" i="17" s="1"/>
  <c r="L496" i="17"/>
  <c r="M496" i="17" s="1"/>
  <c r="L498" i="17"/>
  <c r="M498" i="17" s="1"/>
  <c r="L499" i="17"/>
  <c r="M499" i="17" s="1"/>
  <c r="L500" i="17"/>
  <c r="M500" i="17"/>
  <c r="L501" i="17"/>
  <c r="M501" i="17"/>
  <c r="L502" i="17"/>
  <c r="M502" i="17"/>
  <c r="L503" i="17"/>
  <c r="M503" i="17"/>
  <c r="L505" i="17"/>
  <c r="M505" i="17"/>
  <c r="L507" i="17"/>
  <c r="M507" i="17" s="1"/>
  <c r="L508" i="17"/>
  <c r="M508" i="17" s="1"/>
  <c r="L509" i="17"/>
  <c r="M509" i="17"/>
  <c r="L510" i="17"/>
  <c r="M510" i="17"/>
  <c r="L511" i="17"/>
  <c r="M511" i="17"/>
  <c r="L512" i="17"/>
  <c r="M512" i="17"/>
  <c r="L513" i="17"/>
  <c r="M513" i="17" s="1"/>
  <c r="L514" i="17"/>
  <c r="M514" i="17" s="1"/>
  <c r="L515" i="17"/>
  <c r="M515" i="17"/>
  <c r="L516" i="17"/>
  <c r="M516" i="17"/>
  <c r="L517" i="17"/>
  <c r="M517" i="17"/>
  <c r="L519" i="17"/>
  <c r="M519" i="17"/>
  <c r="L520" i="17"/>
  <c r="M520" i="17" s="1"/>
  <c r="L522" i="17"/>
  <c r="M522" i="17" s="1"/>
  <c r="L523" i="17"/>
  <c r="M523" i="17" s="1"/>
  <c r="L524" i="17"/>
  <c r="M524" i="17"/>
  <c r="L525" i="17"/>
  <c r="M525" i="17"/>
  <c r="L526" i="17"/>
  <c r="M526" i="17"/>
  <c r="L527" i="17"/>
  <c r="M527" i="17" s="1"/>
  <c r="L528" i="17"/>
  <c r="M528" i="17" s="1"/>
  <c r="L529" i="17"/>
  <c r="M529" i="17" s="1"/>
  <c r="L530" i="17"/>
  <c r="M530" i="17"/>
  <c r="L531" i="17"/>
  <c r="M531" i="17"/>
  <c r="L532" i="17"/>
  <c r="M532" i="17"/>
  <c r="L533" i="17"/>
  <c r="M533" i="17" s="1"/>
  <c r="L534" i="17"/>
  <c r="M534" i="17" s="1"/>
  <c r="L535" i="17"/>
  <c r="M535" i="17" s="1"/>
  <c r="L536" i="17"/>
  <c r="M536" i="17" s="1"/>
  <c r="L537" i="17"/>
  <c r="M537" i="17"/>
  <c r="L538" i="17"/>
  <c r="M538" i="17"/>
  <c r="L539" i="17"/>
  <c r="M539" i="17" s="1"/>
  <c r="L540" i="17"/>
  <c r="M540" i="17" s="1"/>
  <c r="L541" i="17"/>
  <c r="M541" i="17" s="1"/>
  <c r="L542" i="17"/>
  <c r="M542" i="17" s="1"/>
  <c r="L543" i="17"/>
  <c r="M543" i="17"/>
  <c r="L544" i="17"/>
  <c r="M544" i="17"/>
  <c r="L545" i="17"/>
  <c r="M545" i="17" s="1"/>
  <c r="L546" i="17"/>
  <c r="M546" i="17" s="1"/>
  <c r="L547" i="17"/>
  <c r="M547" i="17" s="1"/>
  <c r="L548" i="17"/>
  <c r="M548" i="17" s="1"/>
  <c r="L549" i="17"/>
  <c r="M549" i="17" s="1"/>
  <c r="L550" i="17"/>
  <c r="M550" i="17"/>
  <c r="L552" i="17"/>
  <c r="M552" i="17" s="1"/>
  <c r="L553" i="17"/>
  <c r="M553" i="17" s="1"/>
  <c r="L554" i="17"/>
  <c r="M554" i="17" s="1"/>
  <c r="L555" i="17"/>
  <c r="M555" i="17" s="1"/>
  <c r="L556" i="17"/>
  <c r="M556" i="17" s="1"/>
  <c r="L557" i="17"/>
  <c r="M557" i="17"/>
  <c r="L558" i="17"/>
  <c r="M558" i="17" s="1"/>
  <c r="L559" i="17"/>
  <c r="M559" i="17" s="1"/>
  <c r="L560" i="17"/>
  <c r="M560" i="17" s="1"/>
  <c r="L561" i="17"/>
  <c r="M561" i="17" s="1"/>
  <c r="L562" i="17"/>
  <c r="M562" i="17" s="1"/>
  <c r="L563" i="17"/>
  <c r="M563" i="17" s="1"/>
  <c r="L564" i="17"/>
  <c r="M564" i="17" s="1"/>
  <c r="L565" i="17"/>
  <c r="M565" i="17" s="1"/>
  <c r="L567" i="17"/>
  <c r="M567" i="17" s="1"/>
  <c r="L568" i="17"/>
  <c r="M568" i="17" s="1"/>
  <c r="L570" i="17"/>
  <c r="M570" i="17" s="1"/>
  <c r="L571" i="17"/>
  <c r="M571" i="17" s="1"/>
  <c r="L572" i="17"/>
  <c r="M572" i="17" s="1"/>
  <c r="L573" i="17"/>
  <c r="M573" i="17" s="1"/>
  <c r="L574" i="17"/>
  <c r="M574" i="17" s="1"/>
  <c r="L575" i="17"/>
  <c r="M575" i="17" s="1"/>
  <c r="L576" i="17"/>
  <c r="M576" i="17" s="1"/>
  <c r="L577" i="17"/>
  <c r="M577" i="17" s="1"/>
  <c r="L578" i="17"/>
  <c r="M578" i="17" s="1"/>
  <c r="L579" i="17"/>
  <c r="M579" i="17"/>
  <c r="L580" i="17"/>
  <c r="M580" i="17"/>
  <c r="L582" i="17"/>
  <c r="M582" i="17"/>
  <c r="L585" i="17"/>
  <c r="M585" i="17"/>
  <c r="L586" i="17"/>
  <c r="M586" i="17"/>
  <c r="L587" i="17"/>
  <c r="M587" i="17" s="1"/>
  <c r="L589" i="17"/>
  <c r="M589" i="17" s="1"/>
  <c r="L590" i="17"/>
  <c r="M590" i="17"/>
  <c r="L591" i="17"/>
  <c r="M591" i="17"/>
  <c r="L592" i="17"/>
  <c r="M592" i="17"/>
  <c r="L593" i="17"/>
  <c r="M593" i="17"/>
  <c r="L594" i="17"/>
  <c r="M594" i="17" s="1"/>
  <c r="L595" i="17"/>
  <c r="M595" i="17" s="1"/>
  <c r="L596" i="17"/>
  <c r="M596" i="17"/>
  <c r="L597" i="17"/>
  <c r="M597" i="17"/>
  <c r="L598" i="17"/>
  <c r="M598" i="17"/>
  <c r="L599" i="17"/>
  <c r="M599" i="17"/>
  <c r="L600" i="17"/>
  <c r="M600" i="17" s="1"/>
  <c r="L601" i="17"/>
  <c r="M601" i="17" s="1"/>
  <c r="L602" i="17"/>
  <c r="M602" i="17" s="1"/>
  <c r="L603" i="17"/>
  <c r="M603" i="17"/>
  <c r="L604" i="17"/>
  <c r="M604" i="17"/>
  <c r="L605" i="17"/>
  <c r="M605" i="17"/>
  <c r="L606" i="17"/>
  <c r="M606" i="17" s="1"/>
  <c r="L607" i="17"/>
  <c r="M607" i="17" s="1"/>
  <c r="L608" i="17"/>
  <c r="M608" i="17" s="1"/>
  <c r="L610" i="17"/>
  <c r="M610" i="17"/>
  <c r="L611" i="17"/>
  <c r="M611" i="17"/>
  <c r="L612" i="17"/>
  <c r="M612" i="17"/>
  <c r="L613" i="17"/>
  <c r="M613" i="17" s="1"/>
  <c r="L614" i="17"/>
  <c r="M614" i="17" s="1"/>
  <c r="L615" i="17"/>
  <c r="M615" i="17" s="1"/>
  <c r="L616" i="17"/>
  <c r="M616" i="17" s="1"/>
  <c r="L617" i="17"/>
  <c r="M617" i="17"/>
  <c r="L618" i="17"/>
  <c r="M618" i="17"/>
  <c r="L619" i="17"/>
  <c r="M619" i="17" s="1"/>
  <c r="L620" i="17"/>
  <c r="M620" i="17" s="1"/>
  <c r="L621" i="17"/>
  <c r="M621" i="17" s="1"/>
  <c r="L622" i="17"/>
  <c r="M622" i="17" s="1"/>
  <c r="L623" i="17"/>
  <c r="M623" i="17"/>
  <c r="L624" i="17"/>
  <c r="M624" i="17"/>
  <c r="L625" i="17"/>
  <c r="M625" i="17" s="1"/>
  <c r="L626" i="17"/>
  <c r="M626" i="17" s="1"/>
  <c r="L627" i="17"/>
  <c r="M627" i="17" s="1"/>
  <c r="L628" i="17"/>
  <c r="M628" i="17" s="1"/>
  <c r="L629" i="17"/>
  <c r="M629" i="17" s="1"/>
  <c r="L630" i="17"/>
  <c r="M630" i="17"/>
  <c r="L631" i="17"/>
  <c r="M631" i="17" s="1"/>
  <c r="L632" i="17"/>
  <c r="M632" i="17" s="1"/>
  <c r="L633" i="17"/>
  <c r="M633" i="17" s="1"/>
  <c r="L634" i="17"/>
  <c r="M634" i="17" s="1"/>
  <c r="L635" i="17"/>
  <c r="M635" i="17" s="1"/>
  <c r="L636" i="17"/>
  <c r="M636" i="17"/>
  <c r="L637" i="17"/>
  <c r="M637" i="17" s="1"/>
  <c r="L638" i="17"/>
  <c r="M638" i="17" s="1"/>
  <c r="L639" i="17"/>
  <c r="M639" i="17" s="1"/>
  <c r="L640" i="17"/>
  <c r="M640" i="17" s="1"/>
  <c r="L641" i="17"/>
  <c r="M641" i="17" s="1"/>
  <c r="L643" i="17"/>
  <c r="M643" i="17" s="1"/>
  <c r="L644" i="17"/>
  <c r="M644" i="17" s="1"/>
  <c r="L645" i="17"/>
  <c r="M645" i="17" s="1"/>
  <c r="L646" i="17"/>
  <c r="M646" i="17"/>
  <c r="L647" i="17"/>
  <c r="M647" i="17"/>
  <c r="L648" i="17"/>
  <c r="M648" i="17"/>
  <c r="L649" i="17"/>
  <c r="M649" i="17" s="1"/>
  <c r="L650" i="17"/>
  <c r="M650" i="17" s="1"/>
  <c r="L651" i="17"/>
  <c r="M651" i="17"/>
  <c r="L652" i="17"/>
  <c r="M652" i="17"/>
  <c r="L653" i="17"/>
  <c r="M653" i="17"/>
  <c r="L654" i="17"/>
  <c r="M654" i="17"/>
  <c r="L655" i="17"/>
  <c r="M655" i="17"/>
  <c r="L656" i="17"/>
  <c r="M656" i="17" s="1"/>
  <c r="L657" i="17"/>
  <c r="M657" i="17" s="1"/>
  <c r="L658" i="17"/>
  <c r="M658" i="17" s="1"/>
  <c r="L659" i="17"/>
  <c r="M659" i="17"/>
  <c r="L660" i="17"/>
  <c r="M660" i="17"/>
  <c r="L661" i="17"/>
  <c r="M661" i="17"/>
  <c r="L662" i="17"/>
  <c r="M662" i="17" s="1"/>
  <c r="L663" i="17"/>
  <c r="M663" i="17" s="1"/>
  <c r="L664" i="17"/>
  <c r="M664" i="17"/>
  <c r="L665" i="17"/>
  <c r="M665" i="17"/>
  <c r="L666" i="17"/>
  <c r="M666" i="17"/>
  <c r="L667" i="17"/>
  <c r="M667" i="17"/>
  <c r="L668" i="17"/>
  <c r="M668" i="17" s="1"/>
  <c r="L669" i="17"/>
  <c r="M669" i="17" s="1"/>
  <c r="L670" i="17"/>
  <c r="M670" i="17"/>
  <c r="L671" i="17"/>
  <c r="M671" i="17" s="1"/>
  <c r="L672" i="17"/>
  <c r="M672" i="17" s="1"/>
  <c r="L673" i="17"/>
  <c r="M673" i="17" s="1"/>
  <c r="L674" i="17"/>
  <c r="M674" i="17" s="1"/>
  <c r="L675" i="17"/>
  <c r="M675" i="17"/>
  <c r="L676" i="17"/>
  <c r="M676" i="17" s="1"/>
  <c r="L677" i="17"/>
  <c r="M677" i="17" s="1"/>
  <c r="L678" i="17"/>
  <c r="M678" i="17" s="1"/>
  <c r="L679" i="17"/>
  <c r="M679" i="17" s="1"/>
  <c r="L680" i="17"/>
  <c r="M680" i="17" s="1"/>
  <c r="L681" i="17"/>
  <c r="M681" i="17"/>
  <c r="L682" i="17"/>
  <c r="M682" i="17" s="1"/>
  <c r="L683" i="17"/>
  <c r="M683" i="17" s="1"/>
  <c r="L684" i="17"/>
  <c r="M684" i="17" s="1"/>
  <c r="L685" i="17"/>
  <c r="M685" i="17"/>
  <c r="L686" i="17"/>
  <c r="M686" i="17" s="1"/>
  <c r="L687" i="17"/>
  <c r="M687" i="17" s="1"/>
  <c r="L688" i="17"/>
  <c r="M688" i="17" s="1"/>
  <c r="L689" i="17"/>
  <c r="M689" i="17" s="1"/>
  <c r="L691" i="17"/>
  <c r="M691" i="17"/>
  <c r="L692" i="17"/>
  <c r="M692" i="17"/>
  <c r="L693" i="17"/>
  <c r="M693" i="17" s="1"/>
  <c r="L694" i="17"/>
  <c r="M694" i="17" s="1"/>
  <c r="L695" i="17"/>
  <c r="M695" i="17" s="1"/>
  <c r="L696" i="17"/>
  <c r="M696" i="17" s="1"/>
  <c r="L697" i="17"/>
  <c r="M697" i="17"/>
  <c r="L698" i="17"/>
  <c r="M698" i="17" s="1"/>
  <c r="L700" i="17"/>
  <c r="M700" i="17" s="1"/>
  <c r="L701" i="17"/>
  <c r="M701" i="17"/>
  <c r="L703" i="17"/>
  <c r="M703" i="17"/>
  <c r="L704" i="17"/>
  <c r="M704" i="17"/>
  <c r="L705" i="17"/>
  <c r="M705" i="17" s="1"/>
  <c r="L706" i="17"/>
  <c r="M706" i="17" s="1"/>
  <c r="L707" i="17"/>
  <c r="M707" i="17" s="1"/>
  <c r="L708" i="17"/>
  <c r="M708" i="17"/>
  <c r="L709" i="17"/>
  <c r="M709" i="17"/>
  <c r="L710" i="17"/>
  <c r="M710" i="17"/>
  <c r="L711" i="17"/>
  <c r="M711" i="17" s="1"/>
  <c r="L712" i="17"/>
  <c r="M712" i="17" s="1"/>
  <c r="L713" i="17"/>
  <c r="M713" i="17" s="1"/>
  <c r="L714" i="17"/>
  <c r="M714" i="17"/>
  <c r="L715" i="17"/>
  <c r="M715" i="17"/>
  <c r="L716" i="17"/>
  <c r="M716" i="17"/>
  <c r="L717" i="17"/>
  <c r="M717" i="17"/>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c r="L730" i="17"/>
  <c r="M730" i="17" s="1"/>
  <c r="L732" i="17"/>
  <c r="M732" i="17" s="1"/>
  <c r="L733" i="17"/>
  <c r="M733" i="17"/>
  <c r="L735" i="17"/>
  <c r="M735" i="17" s="1"/>
  <c r="L736" i="17"/>
  <c r="M736" i="17" s="1"/>
  <c r="L737" i="17"/>
  <c r="M737" i="17" s="1"/>
  <c r="L738" i="17"/>
  <c r="M738" i="17"/>
  <c r="L739" i="17"/>
  <c r="M739" i="17" s="1"/>
  <c r="L740" i="17"/>
  <c r="M740" i="17"/>
  <c r="L741" i="17"/>
  <c r="M741" i="17" s="1"/>
  <c r="L742" i="17"/>
  <c r="M742" i="17" s="1"/>
  <c r="L743" i="17"/>
  <c r="M743" i="17" s="1"/>
  <c r="L744" i="17"/>
  <c r="M744" i="17" s="1"/>
  <c r="L745" i="17"/>
  <c r="M745" i="17" s="1"/>
  <c r="L746" i="17"/>
  <c r="M746" i="17"/>
  <c r="L747" i="17"/>
  <c r="M747" i="17" s="1"/>
  <c r="L748" i="17"/>
  <c r="M748" i="17" s="1"/>
  <c r="L750" i="17"/>
  <c r="M750" i="17" s="1"/>
  <c r="L751" i="17"/>
  <c r="M751" i="17" s="1"/>
  <c r="L752" i="17"/>
  <c r="M752" i="17" s="1"/>
  <c r="L753" i="17"/>
  <c r="M753" i="17"/>
  <c r="L754" i="17"/>
  <c r="M754" i="17" s="1"/>
  <c r="L755" i="17"/>
  <c r="M755" i="17" s="1"/>
  <c r="L756" i="17"/>
  <c r="M756" i="17" s="1"/>
  <c r="L757" i="17"/>
  <c r="M757" i="17" s="1"/>
  <c r="L759" i="17"/>
  <c r="M759" i="17" s="1"/>
  <c r="L761" i="17"/>
  <c r="M761" i="17"/>
  <c r="L762" i="17"/>
  <c r="M762" i="17" s="1"/>
  <c r="L763" i="17"/>
  <c r="M763" i="17"/>
  <c r="L764" i="17"/>
  <c r="M764" i="17" s="1"/>
  <c r="L765" i="17"/>
  <c r="M765" i="17" s="1"/>
  <c r="L766" i="17"/>
  <c r="M766" i="17" s="1"/>
  <c r="L767" i="17"/>
  <c r="M767" i="17"/>
  <c r="L768" i="17"/>
  <c r="M768" i="17" s="1"/>
  <c r="L769" i="17"/>
  <c r="M769" i="17" s="1"/>
  <c r="L770" i="17"/>
  <c r="M770" i="17"/>
  <c r="L771" i="17"/>
  <c r="M771" i="17" s="1"/>
  <c r="L772" i="17"/>
  <c r="M772" i="17" s="1"/>
  <c r="L773" i="17"/>
  <c r="M773" i="17"/>
  <c r="L774" i="17"/>
  <c r="M774" i="17" s="1"/>
  <c r="L775" i="17"/>
  <c r="M775" i="17" s="1"/>
  <c r="L776" i="17"/>
  <c r="M776" i="17" s="1"/>
  <c r="L777" i="17"/>
  <c r="M777" i="17"/>
  <c r="L778" i="17"/>
  <c r="M778" i="17" s="1"/>
  <c r="L779" i="17"/>
  <c r="M779" i="17"/>
  <c r="L780" i="17"/>
  <c r="M780" i="17" s="1"/>
  <c r="L781" i="17"/>
  <c r="M781" i="17" s="1"/>
  <c r="L782" i="17"/>
  <c r="M782" i="17" s="1"/>
  <c r="L783" i="17"/>
  <c r="M783" i="17" s="1"/>
  <c r="L784" i="17"/>
  <c r="M784" i="17" s="1"/>
  <c r="L785" i="17"/>
  <c r="M785" i="17" s="1"/>
  <c r="L786" i="17"/>
  <c r="M786" i="17" s="1"/>
  <c r="L787" i="17"/>
  <c r="M787" i="17"/>
  <c r="L788" i="17"/>
  <c r="M788" i="17" s="1"/>
  <c r="L789" i="17"/>
  <c r="M789" i="17" s="1"/>
  <c r="L790" i="17"/>
  <c r="M790" i="17" s="1"/>
  <c r="L791" i="17"/>
  <c r="M791" i="17"/>
  <c r="L792" i="17"/>
  <c r="M792" i="17" s="1"/>
  <c r="L793" i="17"/>
  <c r="M793" i="17" s="1"/>
  <c r="L794" i="17"/>
  <c r="M794" i="17" s="1"/>
  <c r="L795" i="17"/>
  <c r="M795" i="17" s="1"/>
  <c r="L796" i="17"/>
  <c r="M796" i="17" s="1"/>
  <c r="L797" i="17"/>
  <c r="M797" i="17"/>
  <c r="L798" i="17"/>
  <c r="M798" i="17" s="1"/>
  <c r="L799" i="17"/>
  <c r="M799" i="17"/>
  <c r="L800" i="17"/>
  <c r="M800" i="17" s="1"/>
  <c r="L801" i="17"/>
  <c r="M801" i="17"/>
  <c r="L802" i="17"/>
  <c r="M802" i="17" s="1"/>
  <c r="L803" i="17"/>
  <c r="M803" i="17"/>
  <c r="L804" i="17"/>
  <c r="M804" i="17" s="1"/>
  <c r="L805" i="17"/>
  <c r="M805" i="17" s="1"/>
  <c r="L806" i="17"/>
  <c r="M806" i="17"/>
  <c r="L807" i="17"/>
  <c r="M807" i="17" s="1"/>
  <c r="L808" i="17"/>
  <c r="M808" i="17" s="1"/>
  <c r="L809" i="17"/>
  <c r="M809" i="17" s="1"/>
  <c r="L810" i="17"/>
  <c r="M810" i="17" s="1"/>
  <c r="L811" i="17"/>
  <c r="M811" i="17"/>
  <c r="L812" i="17"/>
  <c r="M812" i="17"/>
  <c r="L813" i="17"/>
  <c r="M813" i="17"/>
  <c r="L814" i="17"/>
  <c r="M814" i="17" s="1"/>
  <c r="L815" i="17"/>
  <c r="M815" i="17" s="1"/>
  <c r="L816" i="17"/>
  <c r="M816" i="17" s="1"/>
  <c r="L817" i="17"/>
  <c r="M817" i="17"/>
  <c r="L818" i="17"/>
  <c r="M818" i="17" s="1"/>
  <c r="L819" i="17"/>
  <c r="M819" i="17" s="1"/>
  <c r="L820" i="17"/>
  <c r="M820" i="17" s="1"/>
  <c r="L821" i="17"/>
  <c r="M821" i="17" s="1"/>
  <c r="L823" i="17"/>
  <c r="M823" i="17" s="1"/>
  <c r="L824" i="17"/>
  <c r="M824" i="17"/>
  <c r="L825" i="17"/>
  <c r="M825" i="17"/>
  <c r="L826" i="17"/>
  <c r="M826" i="17"/>
  <c r="L827" i="17"/>
  <c r="M827" i="17" s="1"/>
  <c r="L828" i="17"/>
  <c r="M828" i="17" s="1"/>
  <c r="L829" i="17"/>
  <c r="M829" i="17" s="1"/>
  <c r="L830" i="17"/>
  <c r="M830" i="17" s="1"/>
  <c r="L831" i="17"/>
  <c r="M831" i="17"/>
  <c r="L832" i="17"/>
  <c r="M832" i="17" s="1"/>
  <c r="L833" i="17"/>
  <c r="M833" i="17" s="1"/>
  <c r="L834" i="17"/>
  <c r="M834" i="17" s="1"/>
  <c r="L835" i="17"/>
  <c r="M835" i="17" s="1"/>
  <c r="L836" i="17"/>
  <c r="M836" i="17"/>
  <c r="L837" i="17"/>
  <c r="M837" i="17"/>
  <c r="L838" i="17"/>
  <c r="M838" i="17"/>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c r="L850" i="17"/>
  <c r="M850" i="17"/>
  <c r="L851" i="17"/>
  <c r="M851" i="17" s="1"/>
  <c r="L852" i="17"/>
  <c r="M852" i="17" s="1"/>
  <c r="L853" i="17"/>
  <c r="M853" i="17" s="1"/>
  <c r="L854" i="17"/>
  <c r="M854" i="17" s="1"/>
  <c r="L855" i="17"/>
  <c r="M855" i="17"/>
  <c r="L856" i="17"/>
  <c r="M856" i="17" s="1"/>
  <c r="L857" i="17"/>
  <c r="M857" i="17" s="1"/>
  <c r="L858" i="17"/>
  <c r="M858" i="17" s="1"/>
  <c r="L859" i="17"/>
  <c r="M859" i="17" s="1"/>
  <c r="L860" i="17"/>
  <c r="M860" i="17"/>
  <c r="L861" i="17"/>
  <c r="M861" i="17"/>
  <c r="L862" i="17"/>
  <c r="M862" i="17"/>
  <c r="L863" i="17"/>
  <c r="M863" i="17" s="1"/>
  <c r="L864" i="17"/>
  <c r="M864" i="17" s="1"/>
  <c r="L866" i="17"/>
  <c r="M866" i="17" s="1"/>
  <c r="L867" i="17"/>
  <c r="M867" i="17" s="1"/>
  <c r="L868" i="17"/>
  <c r="M868" i="17" s="1"/>
  <c r="L869" i="17"/>
  <c r="M869" i="17" s="1"/>
  <c r="L870" i="17"/>
  <c r="M870" i="17" s="1"/>
  <c r="L871" i="17"/>
  <c r="M871" i="17" s="1"/>
  <c r="L872" i="17"/>
  <c r="M872" i="17" s="1"/>
  <c r="L874" i="17"/>
  <c r="M874" i="17"/>
  <c r="L875" i="17"/>
  <c r="M875" i="17"/>
  <c r="L876" i="17"/>
  <c r="M876" i="17" s="1"/>
  <c r="L877" i="17"/>
  <c r="M877" i="17" s="1"/>
  <c r="L878" i="17"/>
  <c r="M878" i="17" s="1"/>
  <c r="L879" i="17"/>
  <c r="M879" i="17" s="1"/>
  <c r="L880" i="17"/>
  <c r="M880" i="17" s="1"/>
  <c r="L881" i="17"/>
  <c r="M881" i="17" s="1"/>
  <c r="L883" i="17"/>
  <c r="M883" i="17" s="1"/>
  <c r="L884" i="17"/>
  <c r="M884" i="17" s="1"/>
  <c r="L885" i="17"/>
  <c r="M885" i="17" s="1"/>
  <c r="L886" i="17"/>
  <c r="M886" i="17" s="1"/>
  <c r="L887" i="17"/>
  <c r="M887" i="17"/>
  <c r="L888" i="17"/>
  <c r="M888" i="17"/>
  <c r="L889" i="17"/>
  <c r="M889" i="17"/>
  <c r="L890" i="17"/>
  <c r="M890" i="17" s="1"/>
  <c r="L891" i="17"/>
  <c r="M891" i="17" s="1"/>
  <c r="L892" i="17"/>
  <c r="M892" i="17" s="1"/>
  <c r="L893" i="17"/>
  <c r="M893" i="17"/>
  <c r="L894" i="17"/>
  <c r="M894" i="17" s="1"/>
  <c r="L895" i="17"/>
  <c r="M895" i="17" s="1"/>
  <c r="L896" i="17"/>
  <c r="M896" i="17" s="1"/>
  <c r="L898" i="17"/>
  <c r="M898" i="17" s="1"/>
  <c r="L899" i="17"/>
  <c r="M899" i="17" s="1"/>
  <c r="L900" i="17"/>
  <c r="M900" i="17"/>
  <c r="L901" i="17"/>
  <c r="M901" i="17"/>
  <c r="L902" i="17"/>
  <c r="M902" i="17" s="1"/>
  <c r="L903" i="17"/>
  <c r="M903" i="17" s="1"/>
  <c r="L904" i="17"/>
  <c r="M904" i="17" s="1"/>
  <c r="L905" i="17"/>
  <c r="M905" i="17" s="1"/>
  <c r="L906" i="17"/>
  <c r="M906" i="17" s="1"/>
  <c r="L907" i="17"/>
  <c r="M907" i="17"/>
  <c r="L908" i="17"/>
  <c r="M908" i="17" s="1"/>
  <c r="L909" i="17"/>
  <c r="M909" i="17" s="1"/>
  <c r="L910" i="17"/>
  <c r="M910" i="17" s="1"/>
  <c r="L911" i="17"/>
  <c r="M911" i="17" s="1"/>
  <c r="L912" i="17"/>
  <c r="M912" i="17"/>
  <c r="L913" i="17"/>
  <c r="M913" i="17"/>
  <c r="L914" i="17"/>
  <c r="M914" i="17"/>
  <c r="L915" i="17"/>
  <c r="M915" i="17" s="1"/>
  <c r="L916" i="17"/>
  <c r="M916" i="17" s="1"/>
  <c r="L917" i="17"/>
  <c r="M917" i="17" s="1"/>
  <c r="L918" i="17"/>
  <c r="M918" i="17"/>
  <c r="L919" i="17"/>
  <c r="M919" i="17" s="1"/>
  <c r="L920" i="17"/>
  <c r="M920" i="17" s="1"/>
  <c r="L921" i="17"/>
  <c r="M921" i="17" s="1"/>
  <c r="L922" i="17"/>
  <c r="M922" i="17" s="1"/>
  <c r="L923" i="17"/>
  <c r="M923" i="17" s="1"/>
  <c r="L924" i="17"/>
  <c r="M924" i="17" s="1"/>
  <c r="L925" i="17"/>
  <c r="M925" i="17"/>
  <c r="L926" i="17"/>
  <c r="M926" i="17"/>
  <c r="L927" i="17"/>
  <c r="M927" i="17" s="1"/>
  <c r="L928" i="17"/>
  <c r="M928" i="17" s="1"/>
  <c r="L929" i="17"/>
  <c r="M929" i="17" s="1"/>
  <c r="L930" i="17"/>
  <c r="M930" i="17" s="1"/>
  <c r="L931" i="17"/>
  <c r="M931" i="17"/>
  <c r="L932" i="17"/>
  <c r="M932" i="17" s="1"/>
  <c r="L933" i="17"/>
  <c r="M933" i="17" s="1"/>
  <c r="L934" i="17"/>
  <c r="M934" i="17" s="1"/>
  <c r="L935" i="17"/>
  <c r="M935" i="17" s="1"/>
  <c r="L936" i="17"/>
  <c r="M936" i="17"/>
  <c r="L937" i="17"/>
  <c r="M937" i="17"/>
  <c r="L938" i="17"/>
  <c r="M938" i="17"/>
  <c r="L939" i="17"/>
  <c r="M939" i="17" s="1"/>
  <c r="L940" i="17"/>
  <c r="M940" i="17" s="1"/>
  <c r="L941" i="17"/>
  <c r="M941" i="17" s="1"/>
  <c r="L942" i="17"/>
  <c r="M942" i="17" s="1"/>
  <c r="L943" i="17"/>
  <c r="M943" i="17" s="1"/>
  <c r="L944" i="17"/>
  <c r="M944" i="17" s="1"/>
  <c r="L945" i="17"/>
  <c r="M945" i="17" s="1"/>
  <c r="L946" i="17"/>
  <c r="M946" i="17" s="1"/>
  <c r="L947" i="17"/>
  <c r="M947" i="17" s="1"/>
  <c r="L948" i="17"/>
  <c r="M948" i="17"/>
  <c r="L949" i="17"/>
  <c r="M949" i="17"/>
  <c r="L950" i="17"/>
  <c r="M950" i="17" s="1"/>
  <c r="L951" i="17"/>
  <c r="M951" i="17" s="1"/>
  <c r="L952" i="17"/>
  <c r="M952" i="17" s="1"/>
  <c r="L953" i="17"/>
  <c r="M953" i="17" s="1"/>
  <c r="L954" i="17"/>
  <c r="M954" i="17" s="1"/>
  <c r="L955" i="17"/>
  <c r="M955" i="17"/>
  <c r="L956" i="17"/>
  <c r="M956" i="17" s="1"/>
  <c r="L957" i="17"/>
  <c r="M957" i="17" s="1"/>
  <c r="L958" i="17"/>
  <c r="M958" i="17" s="1"/>
  <c r="L959" i="17"/>
  <c r="M959" i="17" s="1"/>
  <c r="L960" i="17"/>
  <c r="M960" i="17"/>
  <c r="L961" i="17"/>
  <c r="M961" i="17"/>
  <c r="L962" i="17"/>
  <c r="M962" i="17"/>
  <c r="L963" i="17"/>
  <c r="M963" i="17" s="1"/>
  <c r="L964" i="17"/>
  <c r="M964" i="17" s="1"/>
  <c r="L965" i="17"/>
  <c r="M965" i="17" s="1"/>
  <c r="L966" i="17"/>
  <c r="M966" i="17"/>
  <c r="L967" i="17"/>
  <c r="M967" i="17" s="1"/>
  <c r="L968" i="17"/>
  <c r="M968" i="17" s="1"/>
  <c r="L969" i="17"/>
  <c r="M969" i="17" s="1"/>
  <c r="L970" i="17"/>
  <c r="M970" i="17" s="1"/>
  <c r="L971" i="17"/>
  <c r="M971" i="17" s="1"/>
  <c r="L972" i="17"/>
  <c r="M972" i="17"/>
  <c r="L973" i="17"/>
  <c r="M973" i="17"/>
  <c r="L974" i="17"/>
  <c r="M974" i="17"/>
  <c r="L975" i="17"/>
  <c r="M975" i="17" s="1"/>
  <c r="L976" i="17"/>
  <c r="M976" i="17" s="1"/>
  <c r="L977" i="17"/>
  <c r="M977" i="17" s="1"/>
  <c r="L978" i="17"/>
  <c r="M978" i="17" s="1"/>
  <c r="L979" i="17"/>
  <c r="M979" i="17"/>
  <c r="L980" i="17"/>
  <c r="M980" i="17" s="1"/>
  <c r="L982" i="17"/>
  <c r="M982" i="17" s="1"/>
  <c r="L983" i="17"/>
  <c r="M983" i="17" s="1"/>
  <c r="L984" i="17"/>
  <c r="M984" i="17" s="1"/>
  <c r="L985" i="17"/>
  <c r="M985" i="17"/>
  <c r="L986" i="17"/>
  <c r="M986" i="17"/>
  <c r="L987" i="17"/>
  <c r="M987" i="17"/>
  <c r="L988" i="17"/>
  <c r="M988" i="17" s="1"/>
  <c r="L989" i="17"/>
  <c r="M989" i="17" s="1"/>
  <c r="L990" i="17"/>
  <c r="M990" i="17" s="1"/>
  <c r="L991" i="17"/>
  <c r="M991" i="17"/>
  <c r="L992" i="17"/>
  <c r="M992" i="17" s="1"/>
  <c r="L993" i="17"/>
  <c r="M993" i="17" s="1"/>
  <c r="L994" i="17"/>
  <c r="M994" i="17" s="1"/>
  <c r="L995" i="17"/>
  <c r="M995" i="17" s="1"/>
  <c r="L996" i="17"/>
  <c r="M996" i="17" s="1"/>
  <c r="L997" i="17"/>
  <c r="M997" i="17" s="1"/>
  <c r="L998" i="17"/>
  <c r="M998" i="17"/>
  <c r="L999" i="17"/>
  <c r="M999" i="17"/>
  <c r="L1000" i="17"/>
  <c r="M1000" i="17" s="1"/>
  <c r="L1001" i="17"/>
  <c r="M1001" i="17" s="1"/>
  <c r="O5" i="17" a="1"/>
  <c r="O5" i="17"/>
  <c r="O6" i="17" a="1"/>
  <c r="O6" i="17" s="1"/>
  <c r="O7" i="17" a="1"/>
  <c r="O7" i="17" s="1"/>
  <c r="O12" i="17" a="1"/>
  <c r="O12" i="17"/>
  <c r="O156" i="17"/>
  <c r="O160" i="17" a="1"/>
  <c r="O160" i="17" s="1"/>
  <c r="O161" i="17" a="1"/>
  <c r="O161" i="17" s="1"/>
  <c r="O195" i="17" a="1"/>
  <c r="O195" i="17" s="1"/>
  <c r="O196" i="17"/>
  <c r="O197" i="17" a="1"/>
  <c r="O197" i="17" s="1"/>
  <c r="O328" i="17" a="1"/>
  <c r="O328" i="17"/>
  <c r="O344" i="17" a="1"/>
  <c r="O344" i="17" s="1"/>
  <c r="O351" i="17" a="1"/>
  <c r="O351" i="17" s="1"/>
  <c r="O449" i="17" a="1"/>
  <c r="O449" i="17" s="1"/>
  <c r="O458" i="17" a="1"/>
  <c r="O458" i="17" s="1"/>
  <c r="O460" i="17" a="1"/>
  <c r="O460" i="17" s="1"/>
  <c r="O480" i="17" a="1"/>
  <c r="O480" i="17" s="1"/>
  <c r="O481" i="17" a="1"/>
  <c r="O481" i="17" s="1"/>
  <c r="O531" i="17" a="1"/>
  <c r="O531" i="17" s="1"/>
  <c r="O584" i="17" a="1"/>
  <c r="O584" i="17"/>
  <c r="O586" i="17" a="1"/>
  <c r="O586" i="17" s="1"/>
  <c r="O667" i="17" a="1"/>
  <c r="O667" i="17"/>
  <c r="O668" i="17" a="1"/>
  <c r="O668" i="17" s="1"/>
  <c r="O734" i="17" a="1"/>
  <c r="O734" i="17"/>
  <c r="O746" i="17" a="1"/>
  <c r="O746" i="17" s="1"/>
  <c r="O749" i="17"/>
  <c r="O750" i="17" a="1"/>
  <c r="O750" i="17"/>
  <c r="O784" i="17" a="1"/>
  <c r="O784" i="17" s="1"/>
  <c r="O806" i="17" a="1"/>
  <c r="O806" i="17"/>
  <c r="O807" i="17" a="1"/>
  <c r="O807" i="17" s="1"/>
  <c r="O808" i="17" a="1"/>
  <c r="O808" i="17" s="1"/>
  <c r="O856" i="17"/>
  <c r="O857" i="17" a="1"/>
  <c r="O857" i="17"/>
  <c r="O893" i="17"/>
  <c r="O894" i="17" a="1"/>
  <c r="O894" i="17" s="1"/>
  <c r="O895" i="17"/>
  <c r="O896" i="17" a="1"/>
  <c r="O896" i="17" s="1"/>
  <c r="O900" i="17" a="1"/>
  <c r="O900" i="17" s="1"/>
  <c r="O936" i="17"/>
  <c r="O938" i="17" a="1"/>
  <c r="O938" i="17"/>
  <c r="O943" i="17"/>
  <c r="O944" i="17"/>
  <c r="O976" i="17" a="1"/>
  <c r="O976" i="17" s="1"/>
  <c r="O984" i="17"/>
  <c r="O985" i="17"/>
  <c r="O986" i="17" a="1"/>
  <c r="O986" i="17" s="1"/>
  <c r="N23" i="17"/>
  <c r="N24" i="17" a="1"/>
  <c r="N24" i="17" s="1"/>
  <c r="N25" i="17" a="1"/>
  <c r="N25" i="17" s="1"/>
  <c r="N26" i="17" a="1"/>
  <c r="N26" i="17"/>
  <c r="N35" i="17" a="1"/>
  <c r="N35" i="17" s="1"/>
  <c r="N70" i="17" a="1"/>
  <c r="N70" i="17" s="1"/>
  <c r="N79" i="17" a="1"/>
  <c r="N79" i="17" s="1"/>
  <c r="N119" i="17" a="1"/>
  <c r="N119" i="17" s="1"/>
  <c r="N120" i="17" a="1"/>
  <c r="N120" i="17" s="1"/>
  <c r="N121" i="17" a="1"/>
  <c r="N121" i="17"/>
  <c r="N122" i="17" a="1"/>
  <c r="N122" i="17"/>
  <c r="N170" i="17" a="1"/>
  <c r="N170" i="17"/>
  <c r="N171" i="17" a="1"/>
  <c r="N171" i="17" s="1"/>
  <c r="N214" i="17" a="1"/>
  <c r="N214" i="17" s="1"/>
  <c r="N216" i="17"/>
  <c r="N250" i="17" a="1"/>
  <c r="N250" i="17" s="1"/>
  <c r="N251" i="17" a="1"/>
  <c r="N251" i="17" s="1"/>
  <c r="N252" i="17"/>
  <c r="N253" i="17" a="1"/>
  <c r="N253" i="17" s="1"/>
  <c r="N257" i="17"/>
  <c r="N259" i="17" a="1"/>
  <c r="N259" i="17" s="1"/>
  <c r="N288" i="17"/>
  <c r="N299" i="17" a="1"/>
  <c r="N299" i="17" s="1"/>
  <c r="N326" i="17"/>
  <c r="N327" i="17" a="1"/>
  <c r="N327" i="17" s="1"/>
  <c r="N330" i="17" a="1"/>
  <c r="N330" i="17" s="1"/>
  <c r="N335" i="17"/>
  <c r="N362" i="17" a="1"/>
  <c r="N362" i="17" s="1"/>
  <c r="N363" i="17" a="1"/>
  <c r="N363" i="17" s="1"/>
  <c r="N370" i="17" a="1"/>
  <c r="N370" i="17" s="1"/>
  <c r="N371" i="17" a="1"/>
  <c r="N371" i="17" s="1"/>
  <c r="N434" i="17" a="1"/>
  <c r="N434" i="17"/>
  <c r="N435" i="17" a="1"/>
  <c r="N435" i="17" s="1"/>
  <c r="N441" i="17" a="1"/>
  <c r="N441" i="17" s="1"/>
  <c r="N442" i="17" a="1"/>
  <c r="N442" i="17" s="1"/>
  <c r="N468" i="17" a="1"/>
  <c r="N468" i="17" s="1"/>
  <c r="N469" i="17"/>
  <c r="N470" i="17" a="1"/>
  <c r="N470" i="17" s="1"/>
  <c r="N471" i="17" a="1"/>
  <c r="N471" i="17" s="1"/>
  <c r="N472" i="17" a="1"/>
  <c r="N472" i="17" s="1"/>
  <c r="N473" i="17" a="1"/>
  <c r="N473" i="17" s="1"/>
  <c r="N493" i="17" a="1"/>
  <c r="N493" i="17" s="1"/>
  <c r="N503" i="17"/>
  <c r="N504" i="17" a="1"/>
  <c r="N504" i="17"/>
  <c r="N505" i="17" a="1"/>
  <c r="N505" i="17" s="1"/>
  <c r="N510" i="17" a="1"/>
  <c r="N510" i="17" s="1"/>
  <c r="N511" i="17" a="1"/>
  <c r="N511" i="17" s="1"/>
  <c r="N538" i="17" a="1"/>
  <c r="N538" i="17" s="1"/>
  <c r="N539" i="17" a="1"/>
  <c r="N539" i="17"/>
  <c r="N540" i="17" a="1"/>
  <c r="N540" i="17"/>
  <c r="N563" i="17" a="1"/>
  <c r="N563" i="17" s="1"/>
  <c r="N566" i="17"/>
  <c r="N570" i="17" a="1"/>
  <c r="N570" i="17"/>
  <c r="N587" i="17" a="1"/>
  <c r="N587" i="17" s="1"/>
  <c r="N597" i="17" a="1"/>
  <c r="N597" i="17" s="1"/>
  <c r="N599" i="17"/>
  <c r="N600" i="17" a="1"/>
  <c r="N600" i="17" s="1"/>
  <c r="N601" i="17" a="1"/>
  <c r="N601" i="17" s="1"/>
  <c r="N624" i="17" a="1"/>
  <c r="N624" i="17" s="1"/>
  <c r="N626" i="17"/>
  <c r="N628" i="17" a="1"/>
  <c r="N628" i="17" s="1"/>
  <c r="N648" i="17"/>
  <c r="N657" i="17" a="1"/>
  <c r="N657" i="17" s="1"/>
  <c r="N658" i="17" a="1"/>
  <c r="N658" i="17" s="1"/>
  <c r="N659" i="17" a="1"/>
  <c r="N659" i="17" s="1"/>
  <c r="N661" i="17" a="1"/>
  <c r="N661" i="17"/>
  <c r="N685" i="17" a="1"/>
  <c r="N685" i="17" s="1"/>
  <c r="N690" i="17" a="1"/>
  <c r="N690" i="17" s="1"/>
  <c r="N691" i="17"/>
  <c r="N707" i="17"/>
  <c r="N717" i="17" a="1"/>
  <c r="N717" i="17" s="1"/>
  <c r="N718" i="17" a="1"/>
  <c r="N718" i="17" s="1"/>
  <c r="N719" i="17"/>
  <c r="N720" i="17" a="1"/>
  <c r="N720" i="17" s="1"/>
  <c r="N744" i="17" a="1"/>
  <c r="N744" i="17" s="1"/>
  <c r="N745" i="17" a="1"/>
  <c r="N745" i="17" s="1"/>
  <c r="N746" i="17" a="1"/>
  <c r="N746" i="17"/>
  <c r="N747" i="17" a="1"/>
  <c r="N747" i="17" s="1"/>
  <c r="N767" i="17" a="1"/>
  <c r="N767" i="17" s="1"/>
  <c r="N771" i="17" a="1"/>
  <c r="N771" i="17" s="1"/>
  <c r="N772" i="17" a="1"/>
  <c r="N772" i="17" s="1"/>
  <c r="N773" i="17" a="1"/>
  <c r="N773" i="17"/>
  <c r="N774" i="17" a="1"/>
  <c r="N774" i="17" s="1"/>
  <c r="N793" i="17"/>
  <c r="N799" i="17" a="1"/>
  <c r="N799" i="17" s="1"/>
  <c r="N813" i="17" a="1"/>
  <c r="N813" i="17" s="1"/>
  <c r="N818" i="17"/>
  <c r="N837" i="17"/>
  <c r="N841" i="17"/>
  <c r="N847" i="17" a="1"/>
  <c r="N847" i="17" s="1"/>
  <c r="N862" i="17" a="1"/>
  <c r="N862" i="17" s="1"/>
  <c r="N864" i="17"/>
  <c r="N865" i="17" a="1"/>
  <c r="N865" i="17"/>
  <c r="N866" i="17" a="1"/>
  <c r="N866" i="17"/>
  <c r="N877" i="17"/>
  <c r="N885" i="17" a="1"/>
  <c r="N885" i="17" s="1"/>
  <c r="N886" i="17" a="1"/>
  <c r="N886" i="17"/>
  <c r="N897" i="17" a="1"/>
  <c r="N897" i="17" s="1"/>
  <c r="N901" i="17" a="1"/>
  <c r="N901" i="17" s="1"/>
  <c r="N905" i="17" a="1"/>
  <c r="N905" i="17"/>
  <c r="N906" i="17" a="1"/>
  <c r="N906" i="17" s="1"/>
  <c r="N923" i="17"/>
  <c r="N924" i="17" a="1"/>
  <c r="N924" i="17"/>
  <c r="N925" i="17" a="1"/>
  <c r="N925" i="17"/>
  <c r="N936" i="17"/>
  <c r="N945" i="17" a="1"/>
  <c r="N945" i="17" s="1"/>
  <c r="N960" i="17" a="1"/>
  <c r="N960" i="17" s="1"/>
  <c r="N962" i="17"/>
  <c r="N963" i="17" a="1"/>
  <c r="N963" i="17" s="1"/>
  <c r="N964" i="17" a="1"/>
  <c r="N964" i="17"/>
  <c r="N965" i="17" a="1"/>
  <c r="N965" i="17" s="1"/>
  <c r="N983" i="17" a="1"/>
  <c r="N983" i="17"/>
  <c r="N984" i="17" a="1"/>
  <c r="N984" i="17"/>
  <c r="N993" i="17" a="1"/>
  <c r="N993" i="17" s="1"/>
  <c r="N994" i="17" a="1"/>
  <c r="N994" i="17" s="1"/>
  <c r="N997" i="17" a="1"/>
  <c r="N997" i="17" s="1"/>
  <c r="M23" i="17"/>
  <c r="M24" i="17"/>
  <c r="M72" i="17"/>
  <c r="M74" i="17"/>
  <c r="M133" i="17"/>
  <c r="M136" i="17"/>
  <c r="M163" i="17"/>
  <c r="M189" i="17"/>
  <c r="M198" i="17"/>
  <c r="M199" i="17"/>
  <c r="M202" i="17"/>
  <c r="M290" i="17"/>
  <c r="M291" i="17"/>
  <c r="M447" i="17"/>
  <c r="M459"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L24" i="17"/>
  <c r="L25" i="17"/>
  <c r="M25" i="17" s="1"/>
  <c r="L26" i="17"/>
  <c r="M26" i="17" s="1"/>
  <c r="L27" i="17"/>
  <c r="M27" i="17" s="1"/>
  <c r="L28" i="17"/>
  <c r="M28" i="17" s="1"/>
  <c r="L32" i="17"/>
  <c r="M32" i="17" s="1"/>
  <c r="L33" i="17"/>
  <c r="M33" i="17" s="1"/>
  <c r="L34" i="17"/>
  <c r="M34" i="17" s="1"/>
  <c r="L35" i="17"/>
  <c r="M35" i="17" s="1"/>
  <c r="L36" i="17"/>
  <c r="M36" i="17" s="1"/>
  <c r="L38" i="17"/>
  <c r="M38" i="17" s="1"/>
  <c r="L39" i="17"/>
  <c r="M39" i="17" s="1"/>
  <c r="L41" i="17"/>
  <c r="M41" i="17" s="1"/>
  <c r="L42" i="17"/>
  <c r="M42" i="17" s="1"/>
  <c r="L43" i="17"/>
  <c r="M43" i="17" s="1"/>
  <c r="L44" i="17"/>
  <c r="M44" i="17" s="1"/>
  <c r="L45" i="17"/>
  <c r="M45" i="17" s="1"/>
  <c r="L46" i="17"/>
  <c r="M46" i="17" s="1"/>
  <c r="L47" i="17"/>
  <c r="M47" i="17" s="1"/>
  <c r="L48" i="17"/>
  <c r="M48" i="17" s="1"/>
  <c r="L49" i="17"/>
  <c r="M49" i="17" s="1"/>
  <c r="L52" i="17"/>
  <c r="M52" i="17" s="1"/>
  <c r="L53" i="17"/>
  <c r="M53" i="17" s="1"/>
  <c r="L54" i="17"/>
  <c r="M54" i="17" s="1"/>
  <c r="L56" i="17"/>
  <c r="M56" i="17" s="1"/>
  <c r="L57" i="17"/>
  <c r="M57" i="17" s="1"/>
  <c r="L58" i="17"/>
  <c r="M58" i="17" s="1"/>
  <c r="L59" i="17"/>
  <c r="M59" i="17" s="1"/>
  <c r="L60" i="17"/>
  <c r="M60" i="17" s="1"/>
  <c r="L61" i="17"/>
  <c r="M61" i="17" s="1"/>
  <c r="L63" i="17"/>
  <c r="M63" i="17" s="1"/>
  <c r="L65" i="17"/>
  <c r="M65" i="17" s="1"/>
  <c r="L68" i="17"/>
  <c r="M68" i="17" s="1"/>
  <c r="L69" i="17"/>
  <c r="M69" i="17" s="1"/>
  <c r="L70" i="17"/>
  <c r="M70" i="17" s="1"/>
  <c r="L72" i="17"/>
  <c r="L74" i="17"/>
  <c r="L76" i="17"/>
  <c r="M76" i="17" s="1"/>
  <c r="L77" i="17"/>
  <c r="M77" i="17" s="1"/>
  <c r="L78" i="17"/>
  <c r="M78" i="17" s="1"/>
  <c r="L80" i="17"/>
  <c r="M80" i="17" s="1"/>
  <c r="L81" i="17"/>
  <c r="M81" i="17" s="1"/>
  <c r="L82" i="17"/>
  <c r="M82" i="17" s="1"/>
  <c r="L83" i="17"/>
  <c r="M83" i="17" s="1"/>
  <c r="L84" i="17"/>
  <c r="M84" i="17" s="1"/>
  <c r="L86" i="17"/>
  <c r="M86" i="17" s="1"/>
  <c r="L89" i="17"/>
  <c r="M89" i="17" s="1"/>
  <c r="L90" i="17"/>
  <c r="M90" i="17" s="1"/>
  <c r="L92" i="17"/>
  <c r="M92" i="17" s="1"/>
  <c r="L93" i="17"/>
  <c r="M93" i="17" s="1"/>
  <c r="L94" i="17"/>
  <c r="M94" i="17" s="1"/>
  <c r="L95" i="17"/>
  <c r="M95" i="17" s="1"/>
  <c r="L97" i="17"/>
  <c r="M97" i="17" s="1"/>
  <c r="L98" i="17"/>
  <c r="M98" i="17" s="1"/>
  <c r="L99" i="17"/>
  <c r="M99" i="17" s="1"/>
  <c r="L101" i="17"/>
  <c r="M101" i="17" s="1"/>
  <c r="L103" i="17"/>
  <c r="M103" i="17" s="1"/>
  <c r="L106" i="17"/>
  <c r="M106" i="17" s="1"/>
  <c r="L108" i="17"/>
  <c r="M108" i="17" s="1"/>
  <c r="L111" i="17"/>
  <c r="M111" i="17" s="1"/>
  <c r="L112" i="17"/>
  <c r="M112" i="17" s="1"/>
  <c r="L115" i="17"/>
  <c r="M115" i="17" s="1"/>
  <c r="L116" i="17"/>
  <c r="M116" i="17" s="1"/>
  <c r="L117" i="17"/>
  <c r="M117" i="17" s="1"/>
  <c r="L118" i="17"/>
  <c r="M118" i="17" s="1"/>
  <c r="L119" i="17"/>
  <c r="M119" i="17" s="1"/>
  <c r="L121" i="17"/>
  <c r="M121" i="17" s="1"/>
  <c r="L122" i="17"/>
  <c r="M122" i="17" s="1"/>
  <c r="L123" i="17"/>
  <c r="M123" i="17" s="1"/>
  <c r="L124" i="17"/>
  <c r="M124" i="17" s="1"/>
  <c r="L131" i="17"/>
  <c r="M131" i="17" s="1"/>
  <c r="L133" i="17"/>
  <c r="L136" i="17"/>
  <c r="L139" i="17"/>
  <c r="M139" i="17" s="1"/>
  <c r="L140" i="17"/>
  <c r="M140" i="17" s="1"/>
  <c r="L142" i="17"/>
  <c r="M142" i="17" s="1"/>
  <c r="L143" i="17"/>
  <c r="M143" i="17" s="1"/>
  <c r="L145" i="17"/>
  <c r="M145" i="17" s="1"/>
  <c r="L146" i="17"/>
  <c r="M146" i="17" s="1"/>
  <c r="L147" i="17"/>
  <c r="M147" i="17" s="1"/>
  <c r="L150" i="17"/>
  <c r="M150" i="17" s="1"/>
  <c r="L151" i="17"/>
  <c r="M151" i="17" s="1"/>
  <c r="L154" i="17"/>
  <c r="M154" i="17" s="1"/>
  <c r="L155" i="17"/>
  <c r="M155" i="17" s="1"/>
  <c r="L159" i="17"/>
  <c r="M159" i="17" s="1"/>
  <c r="L160" i="17"/>
  <c r="M160" i="17" s="1"/>
  <c r="L161" i="17"/>
  <c r="M161" i="17" s="1"/>
  <c r="L162" i="17"/>
  <c r="M162" i="17" s="1"/>
  <c r="L163" i="17"/>
  <c r="L165" i="17"/>
  <c r="M165" i="17" s="1"/>
  <c r="L166" i="17"/>
  <c r="M166" i="17" s="1"/>
  <c r="L171" i="17"/>
  <c r="M171" i="17" s="1"/>
  <c r="L176" i="17"/>
  <c r="M176" i="17" s="1"/>
  <c r="L178" i="17"/>
  <c r="M178" i="17" s="1"/>
  <c r="L179" i="17"/>
  <c r="M179" i="17" s="1"/>
  <c r="L180" i="17"/>
  <c r="M180" i="17" s="1"/>
  <c r="L182" i="17"/>
  <c r="M182" i="17" s="1"/>
  <c r="L184" i="17"/>
  <c r="M184" i="17" s="1"/>
  <c r="L185" i="17"/>
  <c r="M185" i="17" s="1"/>
  <c r="L186" i="17"/>
  <c r="M186" i="17" s="1"/>
  <c r="L187" i="17"/>
  <c r="M187" i="17" s="1"/>
  <c r="L189" i="17"/>
  <c r="L190" i="17"/>
  <c r="M190" i="17" s="1"/>
  <c r="L192" i="17"/>
  <c r="M192" i="17" s="1"/>
  <c r="L193" i="17"/>
  <c r="M193" i="17" s="1"/>
  <c r="L194" i="17"/>
  <c r="M194" i="17" s="1"/>
  <c r="L198" i="17"/>
  <c r="L199" i="17"/>
  <c r="L202" i="17"/>
  <c r="L206" i="17"/>
  <c r="M206" i="17" s="1"/>
  <c r="L208" i="17"/>
  <c r="M208" i="17" s="1"/>
  <c r="L215" i="17"/>
  <c r="M215" i="17" s="1"/>
  <c r="L216" i="17"/>
  <c r="M216" i="17" s="1"/>
  <c r="L217" i="17"/>
  <c r="M217" i="17" s="1"/>
  <c r="L218" i="17"/>
  <c r="M218" i="17" s="1"/>
  <c r="L220" i="17"/>
  <c r="M220" i="17" s="1"/>
  <c r="L221" i="17"/>
  <c r="M221" i="17" s="1"/>
  <c r="L222" i="17"/>
  <c r="M222" i="17" s="1"/>
  <c r="L226" i="17"/>
  <c r="M226" i="17" s="1"/>
  <c r="L228" i="17"/>
  <c r="M228" i="17" s="1"/>
  <c r="L230" i="17"/>
  <c r="M230" i="17" s="1"/>
  <c r="L235" i="17"/>
  <c r="M235" i="17" s="1"/>
  <c r="L236" i="17"/>
  <c r="M236" i="17" s="1"/>
  <c r="L237" i="17"/>
  <c r="M237" i="17" s="1"/>
  <c r="L240" i="17"/>
  <c r="M240" i="17" s="1"/>
  <c r="L244" i="17"/>
  <c r="M244" i="17" s="1"/>
  <c r="L246" i="17"/>
  <c r="M246" i="17" s="1"/>
  <c r="L249" i="17"/>
  <c r="M249" i="17" s="1"/>
  <c r="L250" i="17"/>
  <c r="M250" i="17" s="1"/>
  <c r="L254" i="17"/>
  <c r="M254" i="17" s="1"/>
  <c r="L256" i="17"/>
  <c r="M256" i="17" s="1"/>
  <c r="L257" i="17"/>
  <c r="M257" i="17" s="1"/>
  <c r="L259" i="17"/>
  <c r="M259" i="17" s="1"/>
  <c r="L260" i="17"/>
  <c r="M260" i="17" s="1"/>
  <c r="L262" i="17"/>
  <c r="M262" i="17" s="1"/>
  <c r="L263" i="17"/>
  <c r="M263" i="17" s="1"/>
  <c r="L269" i="17"/>
  <c r="M269" i="17" s="1"/>
  <c r="L272" i="17"/>
  <c r="M272" i="17" s="1"/>
  <c r="L274" i="17"/>
  <c r="M274" i="17" s="1"/>
  <c r="L276" i="17"/>
  <c r="M276" i="17" s="1"/>
  <c r="L279" i="17"/>
  <c r="M279" i="17" s="1"/>
  <c r="L285" i="17"/>
  <c r="M285" i="17" s="1"/>
  <c r="L288" i="17"/>
  <c r="M288" i="17" s="1"/>
  <c r="L290" i="17"/>
  <c r="L291" i="17"/>
  <c r="L299" i="17"/>
  <c r="M299" i="17" s="1"/>
  <c r="L300" i="17"/>
  <c r="M300" i="17" s="1"/>
  <c r="L305" i="17"/>
  <c r="M305" i="17" s="1"/>
  <c r="L311" i="17"/>
  <c r="M311" i="17" s="1"/>
  <c r="L312" i="17"/>
  <c r="M312" i="17" s="1"/>
  <c r="L313" i="17"/>
  <c r="M313" i="17" s="1"/>
  <c r="L316" i="17"/>
  <c r="M316" i="17" s="1"/>
  <c r="L326" i="17"/>
  <c r="M326" i="17" s="1"/>
  <c r="L331" i="17"/>
  <c r="M331" i="17" s="1"/>
  <c r="L333" i="17"/>
  <c r="M333" i="17" s="1"/>
  <c r="L337" i="17"/>
  <c r="M337" i="17" s="1"/>
  <c r="L338" i="17"/>
  <c r="M338" i="17" s="1"/>
  <c r="L339" i="17"/>
  <c r="M339" i="17" s="1"/>
  <c r="L364" i="17"/>
  <c r="M364" i="17" s="1"/>
  <c r="L368" i="17"/>
  <c r="M368" i="17" s="1"/>
  <c r="L371" i="17"/>
  <c r="M371" i="17" s="1"/>
  <c r="L373" i="17"/>
  <c r="M373" i="17" s="1"/>
  <c r="L374" i="17"/>
  <c r="M374" i="17" s="1"/>
  <c r="L377" i="17"/>
  <c r="M377" i="17" s="1"/>
  <c r="L401" i="17"/>
  <c r="M401" i="17" s="1"/>
  <c r="L402" i="17"/>
  <c r="M402" i="17" s="1"/>
  <c r="L404" i="17"/>
  <c r="M404" i="17" s="1"/>
  <c r="L407" i="17"/>
  <c r="M407" i="17" s="1"/>
  <c r="L409" i="17"/>
  <c r="M409" i="17" s="1"/>
  <c r="L417" i="17"/>
  <c r="M417" i="17" s="1"/>
  <c r="L421" i="17"/>
  <c r="M421" i="17" s="1"/>
  <c r="L423" i="17"/>
  <c r="M423" i="17" s="1"/>
  <c r="L426" i="17"/>
  <c r="M426" i="17" s="1"/>
  <c r="L432" i="17"/>
  <c r="M432" i="17" s="1"/>
  <c r="L433" i="17"/>
  <c r="M433" i="17" s="1"/>
  <c r="L435" i="17"/>
  <c r="M435" i="17" s="1"/>
  <c r="L436" i="17"/>
  <c r="M436" i="17" s="1"/>
  <c r="L444" i="17"/>
  <c r="M444" i="17" s="1"/>
  <c r="L446" i="17"/>
  <c r="M446" i="17" s="1"/>
  <c r="L447" i="17"/>
  <c r="L459" i="17"/>
  <c r="L463" i="17"/>
  <c r="M463" i="17" s="1"/>
  <c r="L476" i="17"/>
  <c r="M476" i="17" s="1"/>
  <c r="L481" i="17"/>
  <c r="M481" i="17" s="1"/>
  <c r="L483" i="17"/>
  <c r="M483" i="17" s="1"/>
  <c r="L491" i="17"/>
  <c r="M491" i="17" s="1"/>
  <c r="L497" i="17"/>
  <c r="M497" i="17" s="1"/>
  <c r="L504" i="17"/>
  <c r="M504" i="17" s="1"/>
  <c r="L506" i="17"/>
  <c r="M506" i="17" s="1"/>
  <c r="L518" i="17"/>
  <c r="M518" i="17" s="1"/>
  <c r="L521" i="17"/>
  <c r="M521" i="17" s="1"/>
  <c r="L551" i="17"/>
  <c r="M551" i="17" s="1"/>
  <c r="L566" i="17"/>
  <c r="M566" i="17" s="1"/>
  <c r="L569" i="17"/>
  <c r="M569" i="17" s="1"/>
  <c r="L581" i="17"/>
  <c r="M581" i="17" s="1"/>
  <c r="L583" i="17"/>
  <c r="M583" i="17" s="1"/>
  <c r="L584" i="17"/>
  <c r="M584" i="17" s="1"/>
  <c r="L588" i="17"/>
  <c r="M588" i="17" s="1"/>
  <c r="L609" i="17"/>
  <c r="M609" i="17" s="1"/>
  <c r="L642" i="17"/>
  <c r="M642" i="17" s="1"/>
  <c r="L690" i="17"/>
  <c r="M690" i="17" s="1"/>
  <c r="L699" i="17"/>
  <c r="M699" i="17" s="1"/>
  <c r="L702" i="17"/>
  <c r="M702" i="17" s="1"/>
  <c r="L731" i="17"/>
  <c r="M731" i="17" s="1"/>
  <c r="L734" i="17"/>
  <c r="M734" i="17" s="1"/>
  <c r="L749" i="17"/>
  <c r="M749" i="17" s="1"/>
  <c r="L758" i="17"/>
  <c r="M758" i="17" s="1"/>
  <c r="L760" i="17"/>
  <c r="M760" i="17" s="1"/>
  <c r="L822" i="17"/>
  <c r="M822" i="17" s="1"/>
  <c r="L865" i="17"/>
  <c r="M865" i="17" s="1"/>
  <c r="L873" i="17"/>
  <c r="M873" i="17" s="1"/>
  <c r="L882" i="17"/>
  <c r="M882" i="17" s="1"/>
  <c r="L897" i="17"/>
  <c r="M897" i="17" s="1"/>
  <c r="L981" i="17"/>
  <c r="M98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a="1"/>
  <c r="O3" i="17" s="1"/>
  <c r="J4" i="17"/>
  <c r="O4" i="17" s="1" a="1"/>
  <c r="O4" i="17" s="1"/>
  <c r="J5" i="17"/>
  <c r="J6" i="17"/>
  <c r="J7" i="17"/>
  <c r="J8" i="17"/>
  <c r="O8" i="17" s="1" a="1"/>
  <c r="O8" i="17" s="1"/>
  <c r="J9" i="17"/>
  <c r="O9" i="17" s="1" a="1"/>
  <c r="O9" i="17" s="1"/>
  <c r="J10" i="17"/>
  <c r="O10" i="17" s="1" a="1"/>
  <c r="O10" i="17" s="1"/>
  <c r="J11" i="17"/>
  <c r="O11" i="17" s="1" a="1"/>
  <c r="O11" i="17" s="1"/>
  <c r="J12" i="17"/>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J157" i="17"/>
  <c r="O157" i="17" s="1" a="1"/>
  <c r="O157" i="17" s="1"/>
  <c r="J158" i="17"/>
  <c r="O158" i="17" s="1" a="1"/>
  <c r="O158" i="17" s="1"/>
  <c r="J159" i="17"/>
  <c r="O159" i="17" s="1" a="1"/>
  <c r="O159" i="17" s="1"/>
  <c r="J160" i="17"/>
  <c r="J161" i="17"/>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J196" i="17"/>
  <c r="O196" i="17" s="1" a="1"/>
  <c r="J197" i="17"/>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J459" i="17"/>
  <c r="O459" i="17" s="1" a="1"/>
  <c r="O459" i="17" s="1"/>
  <c r="J460" i="17"/>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J481" i="17"/>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J585" i="17"/>
  <c r="O585" i="17" s="1" a="1"/>
  <c r="O585" i="17" s="1"/>
  <c r="J586" i="17"/>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J668" i="17"/>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J747" i="17"/>
  <c r="O747" i="17" s="1" a="1"/>
  <c r="O747" i="17" s="1"/>
  <c r="J748" i="17"/>
  <c r="O748" i="17" s="1" a="1"/>
  <c r="O748" i="17" s="1"/>
  <c r="J749" i="17"/>
  <c r="O749" i="17" s="1" a="1"/>
  <c r="J750" i="17"/>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J807" i="17"/>
  <c r="J808" i="17"/>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J857" i="17"/>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J894" i="17"/>
  <c r="J895" i="17"/>
  <c r="O895" i="17" s="1" a="1"/>
  <c r="J896" i="17"/>
  <c r="J897" i="17"/>
  <c r="O897" i="17" s="1" a="1"/>
  <c r="O897" i="17" s="1"/>
  <c r="J898" i="17"/>
  <c r="O898" i="17" s="1" a="1"/>
  <c r="O898" i="17" s="1"/>
  <c r="J899" i="17"/>
  <c r="O899" i="17" s="1" a="1"/>
  <c r="O899" i="17" s="1"/>
  <c r="J900" i="17"/>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J937" i="17"/>
  <c r="O937" i="17" s="1" a="1"/>
  <c r="O937" i="17" s="1"/>
  <c r="J938" i="17"/>
  <c r="J939" i="17"/>
  <c r="O939" i="17" s="1" a="1"/>
  <c r="O939" i="17" s="1"/>
  <c r="J940" i="17"/>
  <c r="O940" i="17" s="1" a="1"/>
  <c r="O940" i="17" s="1"/>
  <c r="J941" i="17"/>
  <c r="O941" i="17" s="1" a="1"/>
  <c r="O941" i="17" s="1"/>
  <c r="J942" i="17"/>
  <c r="O942" i="17" s="1" a="1"/>
  <c r="O942" i="17" s="1"/>
  <c r="J943" i="17"/>
  <c r="O943" i="17" s="1" a="1"/>
  <c r="J944" i="17"/>
  <c r="O944" i="17" s="1" a="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J985" i="17"/>
  <c r="O985" i="17" s="1" a="1"/>
  <c r="J986" i="17"/>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I24" i="17"/>
  <c r="I25" i="17"/>
  <c r="I26" i="17"/>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I120" i="17"/>
  <c r="I121" i="17"/>
  <c r="I122" i="17"/>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I171" i="17"/>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I215" i="17"/>
  <c r="N215" i="17" s="1" a="1"/>
  <c r="N215" i="17" s="1"/>
  <c r="I216" i="17"/>
  <c r="N216" i="17" s="1" a="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I251" i="17"/>
  <c r="I252" i="17"/>
  <c r="N252" i="17" s="1" a="1"/>
  <c r="I253" i="17"/>
  <c r="I254" i="17"/>
  <c r="N254" i="17" s="1" a="1"/>
  <c r="N254" i="17" s="1"/>
  <c r="I255" i="17"/>
  <c r="N255" i="17" s="1" a="1"/>
  <c r="N255" i="17" s="1"/>
  <c r="I256" i="17"/>
  <c r="N256" i="17" s="1" a="1"/>
  <c r="N256" i="17" s="1"/>
  <c r="I257" i="17"/>
  <c r="N257" i="17" s="1" a="1"/>
  <c r="I258" i="17"/>
  <c r="N258" i="17" s="1" a="1"/>
  <c r="N258" i="17" s="1"/>
  <c r="I259" i="17"/>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I327" i="17"/>
  <c r="I328" i="17"/>
  <c r="N328" i="17" s="1" a="1"/>
  <c r="N328" i="17" s="1"/>
  <c r="I329" i="17"/>
  <c r="N329" i="17" s="1" a="1"/>
  <c r="N329" i="17" s="1"/>
  <c r="I330" i="17"/>
  <c r="I331" i="17"/>
  <c r="N331" i="17" s="1" a="1"/>
  <c r="N331" i="17" s="1"/>
  <c r="I332" i="17"/>
  <c r="N332" i="17" s="1" a="1"/>
  <c r="N332" i="17" s="1"/>
  <c r="I333" i="17"/>
  <c r="N333" i="17" s="1" a="1"/>
  <c r="N333" i="17" s="1"/>
  <c r="I334" i="17"/>
  <c r="N334" i="17" s="1" a="1"/>
  <c r="N334" i="17" s="1"/>
  <c r="I335" i="17"/>
  <c r="N335" i="17" s="1" a="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I363" i="17"/>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I371" i="17"/>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I435" i="17"/>
  <c r="I436" i="17"/>
  <c r="N436" i="17" s="1" a="1"/>
  <c r="N436" i="17" s="1"/>
  <c r="I437" i="17"/>
  <c r="N437" i="17" s="1" a="1"/>
  <c r="N437" i="17" s="1"/>
  <c r="I438" i="17"/>
  <c r="N438" i="17" s="1" a="1"/>
  <c r="N438" i="17" s="1"/>
  <c r="I439" i="17"/>
  <c r="N439" i="17" s="1" a="1"/>
  <c r="N439" i="17" s="1"/>
  <c r="I440" i="17"/>
  <c r="N440" i="17" s="1" a="1"/>
  <c r="N440" i="17" s="1"/>
  <c r="I441" i="17"/>
  <c r="I442" i="17"/>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I469" i="17"/>
  <c r="N469" i="17" s="1" a="1"/>
  <c r="I470" i="17"/>
  <c r="I471" i="17"/>
  <c r="I472" i="17"/>
  <c r="I473" i="17"/>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I504" i="17"/>
  <c r="I505" i="17"/>
  <c r="I506" i="17"/>
  <c r="N506" i="17" s="1" a="1"/>
  <c r="N506" i="17" s="1"/>
  <c r="I507" i="17"/>
  <c r="N507" i="17" s="1" a="1"/>
  <c r="N507" i="17" s="1"/>
  <c r="I508" i="17"/>
  <c r="N508" i="17" s="1" a="1"/>
  <c r="N508" i="17" s="1"/>
  <c r="I509" i="17"/>
  <c r="N509" i="17" s="1" a="1"/>
  <c r="N509" i="17" s="1"/>
  <c r="I510" i="17"/>
  <c r="I511" i="17"/>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I539" i="17"/>
  <c r="I540" i="17"/>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I564" i="17"/>
  <c r="N564" i="17" s="1" a="1"/>
  <c r="N564" i="17" s="1"/>
  <c r="I565" i="17"/>
  <c r="N565" i="17" s="1" a="1"/>
  <c r="N565" i="17" s="1"/>
  <c r="I566" i="17"/>
  <c r="N566" i="17" s="1" a="1"/>
  <c r="I567" i="17"/>
  <c r="N567" i="17" s="1" a="1"/>
  <c r="N567" i="17" s="1"/>
  <c r="I568" i="17"/>
  <c r="N568" i="17" s="1" a="1"/>
  <c r="N568" i="17" s="1"/>
  <c r="I569" i="17"/>
  <c r="N569" i="17" s="1" a="1"/>
  <c r="N569" i="17" s="1"/>
  <c r="I570" i="17"/>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I598" i="17"/>
  <c r="N598" i="17" s="1" a="1"/>
  <c r="N598" i="17" s="1"/>
  <c r="I599" i="17"/>
  <c r="N599" i="17" s="1" a="1"/>
  <c r="I600" i="17"/>
  <c r="I601" i="17"/>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I625" i="17"/>
  <c r="N625" i="17" s="1" a="1"/>
  <c r="N625" i="17" s="1"/>
  <c r="I626" i="17"/>
  <c r="N626" i="17" s="1" a="1"/>
  <c r="I627" i="17"/>
  <c r="N627" i="17" s="1" a="1"/>
  <c r="N627" i="17" s="1"/>
  <c r="I628" i="17"/>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I658" i="17"/>
  <c r="I659" i="17"/>
  <c r="I660" i="17"/>
  <c r="N660" i="17" s="1" a="1"/>
  <c r="N660" i="17" s="1"/>
  <c r="I661" i="17"/>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I686" i="17"/>
  <c r="N686" i="17" s="1" a="1"/>
  <c r="N686" i="17" s="1"/>
  <c r="I687" i="17"/>
  <c r="N687" i="17" s="1" a="1"/>
  <c r="N687" i="17" s="1"/>
  <c r="I688" i="17"/>
  <c r="N688" i="17" s="1" a="1"/>
  <c r="N688" i="17" s="1"/>
  <c r="I689" i="17"/>
  <c r="N689" i="17" s="1" a="1"/>
  <c r="N689" i="17" s="1"/>
  <c r="I690" i="17"/>
  <c r="I691" i="17"/>
  <c r="N691" i="17" s="1" a="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I718" i="17"/>
  <c r="I719" i="17"/>
  <c r="N719" i="17" s="1" a="1"/>
  <c r="I720" i="17"/>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I745" i="17"/>
  <c r="I746" i="17"/>
  <c r="I747" i="17"/>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I768" i="17"/>
  <c r="N768" i="17" s="1" a="1"/>
  <c r="N768" i="17" s="1"/>
  <c r="I769" i="17"/>
  <c r="N769" i="17" s="1" a="1"/>
  <c r="N769" i="17" s="1"/>
  <c r="I770" i="17"/>
  <c r="N770" i="17" s="1" a="1"/>
  <c r="N770" i="17" s="1"/>
  <c r="I771" i="17"/>
  <c r="I772" i="17"/>
  <c r="I773" i="17"/>
  <c r="I774" i="17"/>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I794" i="17"/>
  <c r="N794" i="17" s="1" a="1"/>
  <c r="N794" i="17" s="1"/>
  <c r="I795" i="17"/>
  <c r="N795" i="17" s="1" a="1"/>
  <c r="N795" i="17" s="1"/>
  <c r="I796" i="17"/>
  <c r="N796" i="17" s="1" a="1"/>
  <c r="N796" i="17" s="1"/>
  <c r="I797" i="17"/>
  <c r="N797" i="17" s="1" a="1"/>
  <c r="N797" i="17" s="1"/>
  <c r="I798" i="17"/>
  <c r="N798" i="17" s="1" a="1"/>
  <c r="N798" i="17" s="1"/>
  <c r="I799" i="17"/>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I814" i="17"/>
  <c r="N814" i="17" s="1" a="1"/>
  <c r="N814" i="17" s="1"/>
  <c r="I815" i="17"/>
  <c r="N815" i="17" s="1" a="1"/>
  <c r="N815" i="17" s="1"/>
  <c r="I816" i="17"/>
  <c r="N816" i="17" s="1" a="1"/>
  <c r="N816" i="17" s="1"/>
  <c r="I817" i="17"/>
  <c r="N817" i="17" s="1" a="1"/>
  <c r="N817" i="17" s="1"/>
  <c r="I818" i="17"/>
  <c r="N818" i="17" s="1" a="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I838" i="17"/>
  <c r="N838" i="17" s="1" a="1"/>
  <c r="N838" i="17" s="1"/>
  <c r="I839" i="17"/>
  <c r="N839" i="17" s="1" a="1"/>
  <c r="N839" i="17" s="1"/>
  <c r="I840" i="17"/>
  <c r="N840" i="17" s="1" a="1"/>
  <c r="N840" i="17" s="1"/>
  <c r="I841" i="17"/>
  <c r="N841" i="17" s="1" a="1"/>
  <c r="I842" i="17"/>
  <c r="N842" i="17" s="1" a="1"/>
  <c r="N842" i="17" s="1"/>
  <c r="I843" i="17"/>
  <c r="N843" i="17" s="1" a="1"/>
  <c r="N843" i="17" s="1"/>
  <c r="I844" i="17"/>
  <c r="N844" i="17" s="1" a="1"/>
  <c r="N844" i="17" s="1"/>
  <c r="I845" i="17"/>
  <c r="N845" i="17" s="1" a="1"/>
  <c r="N845" i="17" s="1"/>
  <c r="I846" i="17"/>
  <c r="N846" i="17" s="1" a="1"/>
  <c r="N846" i="17" s="1"/>
  <c r="I847" i="17"/>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I863" i="17"/>
  <c r="N863" i="17" s="1" a="1"/>
  <c r="N863" i="17" s="1"/>
  <c r="I864" i="17"/>
  <c r="N864" i="17" s="1" a="1"/>
  <c r="I865" i="17"/>
  <c r="I866" i="17"/>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I886" i="17"/>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I898" i="17"/>
  <c r="N898" i="17" s="1" a="1"/>
  <c r="N898" i="17" s="1"/>
  <c r="I899" i="17"/>
  <c r="N899" i="17" s="1" a="1"/>
  <c r="N899" i="17" s="1"/>
  <c r="I900" i="17"/>
  <c r="N900" i="17" s="1" a="1"/>
  <c r="N900" i="17" s="1"/>
  <c r="I901" i="17"/>
  <c r="I902" i="17"/>
  <c r="N902" i="17" s="1" a="1"/>
  <c r="N902" i="17" s="1"/>
  <c r="I903" i="17"/>
  <c r="N903" i="17" s="1" a="1"/>
  <c r="N903" i="17" s="1"/>
  <c r="I904" i="17"/>
  <c r="N904" i="17" s="1" a="1"/>
  <c r="N904" i="17" s="1"/>
  <c r="I905" i="17"/>
  <c r="I906" i="17"/>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I924" i="17"/>
  <c r="I925" i="17"/>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I961" i="17"/>
  <c r="N961" i="17" s="1" a="1"/>
  <c r="N961" i="17" s="1"/>
  <c r="I962" i="17"/>
  <c r="N962" i="17" s="1" a="1"/>
  <c r="I963" i="17"/>
  <c r="I964" i="17"/>
  <c r="I965" i="17"/>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I984" i="17"/>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I994" i="17"/>
  <c r="I995" i="17"/>
  <c r="N995" i="17" s="1" a="1"/>
  <c r="N995" i="17" s="1"/>
  <c r="I996" i="17"/>
  <c r="N996" i="17" s="1" a="1"/>
  <c r="N996" i="17" s="1"/>
  <c r="I997" i="17"/>
  <c r="I998" i="17"/>
  <c r="N998" i="17" s="1" a="1"/>
  <c r="N998" i="17" s="1"/>
  <c r="I999" i="17"/>
  <c r="N999" i="17" s="1" a="1"/>
  <c r="N999" i="17" s="1"/>
  <c r="I1000" i="17"/>
  <c r="N1000" i="17" s="1" a="1"/>
  <c r="N1000" i="17" s="1"/>
  <c r="I1001" i="17"/>
  <c r="N1001" i="17" s="1" a="1"/>
  <c r="N1001" i="17" s="1"/>
  <c r="I2" i="17"/>
  <c r="N2" i="17" s="1" a="1"/>
  <c r="N2" i="17" s="1"/>
  <c r="J2" i="17"/>
  <c r="O2" i="17" s="1" a="1"/>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<sst xmlns="http://schemas.openxmlformats.org/spreadsheetml/2006/main" count="11132" uniqueCount="6223">
  <si>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</si>
  <si>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</si>
  <si>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</si>
  <si>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</si>
  <si>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</si>
  <si>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</si>
  <si>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</si>
  <si>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</si>
  <si>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</si>
  <si>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</si>
  <si>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</si>
  <si>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</si>
  <si>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</si>
  <si>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</si>
  <si>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</si>
  <si>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</si>
  <si>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</si>
  <si>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</si>
  <si>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</si>
  <si>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</si>
  <si>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</si>
  <si>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</si>
  <si>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</si>
  <si>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</si>
  <si>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</si>
  <si>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</si>
  <si>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</si>
  <si>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</si>
  <si>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</si>
  <si>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</si>
  <si>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</si>
  <si>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</si>
  <si>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</si>
  <si>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</si>
  <si>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</si>
  <si>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</si>
  <si>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</si>
  <si>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</si>
  <si>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</si>
  <si>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</si>
  <si>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</si>
  <si>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</si>
  <si>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</si>
  <si>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</si>
  <si>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</si>
  <si>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</si>
  <si>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</si>
  <si>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</si>
  <si>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</si>
  <si>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</si>
  <si>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</si>
  <si>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</si>
  <si>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</si>
  <si>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</si>
  <si>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</si>
  <si>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</si>
  <si>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</si>
  <si>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</si>
  <si>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</si>
  <si>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</si>
  <si>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</si>
  <si>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</si>
  <si>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</si>
  <si>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</si>
  <si>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</si>
  <si>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</si>
  <si>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</si>
  <si>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</si>
  <si>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</si>
  <si>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</si>
  <si>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</si>
  <si>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</si>
  <si>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</si>
  <si>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</si>
  <si>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</si>
  <si>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</si>
  <si>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</si>
  <si>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</si>
  <si>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</si>
  <si>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</si>
  <si>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</si>
  <si>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</si>
  <si>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</si>
  <si>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</si>
  <si>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</si>
  <si>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</si>
  <si>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</si>
  <si>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</si>
  <si>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</si>
  <si>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</si>
  <si>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</si>
  <si>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</si>
  <si>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</si>
  <si>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</si>
  <si>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</si>
  <si>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</si>
  <si>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</si>
  <si>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</si>
  <si>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</si>
  <si>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</si>
  <si>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</si>
  <si>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</si>
  <si>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</si>
  <si>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</si>
  <si>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</si>
  <si>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</si>
  <si>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</si>
  <si>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</si>
  <si>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</si>
  <si>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</si>
  <si>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</si>
  <si>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</si>
  <si>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</si>
  <si>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</si>
  <si>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</si>
  <si>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</si>
  <si>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</si>
  <si>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</si>
  <si>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</si>
  <si>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</si>
  <si>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</si>
  <si>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</si>
  <si>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</si>
  <si>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</si>
  <si>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</si>
  <si>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</si>
  <si>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</si>
  <si>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</si>
  <si>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</si>
  <si>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</si>
  <si>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</si>
  <si>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</si>
  <si>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</si>
  <si>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</si>
  <si>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</si>
  <si>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</si>
  <si>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</si>
  <si>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</si>
  <si>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</si>
  <si>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</si>
  <si>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</si>
  <si>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</si>
  <si>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</si>
  <si>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</si>
  <si>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</si>
  <si>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</si>
  <si>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</si>
  <si>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</si>
  <si>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</si>
  <si>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</si>
  <si>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</si>
  <si>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</si>
  <si>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</si>
  <si>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</si>
  <si>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</si>
  <si>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</si>
  <si>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</si>
  <si>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</si>
  <si>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</si>
  <si>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</si>
  <si>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</si>
  <si>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</si>
  <si>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</si>
  <si>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</si>
  <si>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</si>
  <si>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</si>
  <si>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</si>
  <si>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</si>
  <si>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</si>
  <si>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</si>
  <si>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</si>
  <si>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</si>
  <si>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</si>
  <si>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</si>
  <si>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</si>
  <si>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</si>
  <si>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</si>
  <si>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</si>
  <si>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</si>
  <si>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</si>
  <si>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</si>
  <si>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</si>
  <si>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</si>
  <si>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</si>
  <si>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</si>
  <si>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</si>
  <si>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</si>
  <si>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</si>
  <si>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</si>
  <si>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</si>
  <si>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</si>
  <si>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</si>
  <si>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</si>
  <si>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</si>
  <si>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</si>
  <si>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</si>
  <si>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</si>
  <si>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</si>
  <si>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</si>
  <si>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</si>
  <si>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</si>
  <si>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</si>
  <si>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</si>
  <si>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</si>
  <si>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</si>
  <si>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</si>
  <si>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</si>
  <si>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</si>
  <si>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</si>
  <si>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</si>
  <si>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</si>
  <si>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</si>
  <si>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</si>
  <si>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</si>
  <si>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</si>
  <si>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</si>
  <si>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</si>
  <si>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</si>
  <si>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</si>
  <si>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</si>
  <si>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</si>
  <si>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</si>
  <si>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</si>
  <si>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</si>
  <si>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</si>
  <si>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</si>
  <si>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</si>
  <si>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</si>
  <si>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</si>
  <si>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</si>
  <si>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</si>
  <si>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</si>
  <si>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</si>
  <si>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</si>
  <si>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</si>
  <si>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</si>
  <si>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</si>
  <si>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</si>
  <si>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</si>
  <si>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</si>
  <si>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</si>
  <si>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</si>
  <si>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</si>
  <si>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</si>
  <si>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</si>
  <si>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</si>
  <si>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</si>
  <si>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</si>
  <si>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</si>
  <si>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</si>
  <si>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</si>
  <si>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</si>
  <si>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</si>
  <si>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</si>
  <si>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</si>
  <si>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</si>
  <si>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</si>
  <si>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</si>
  <si>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</si>
  <si>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</si>
  <si>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</si>
  <si>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</si>
  <si>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</si>
  <si>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</si>
  <si>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</si>
  <si>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</si>
  <si>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</si>
  <si>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</si>
  <si>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</si>
  <si>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</si>
  <si>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</si>
  <si>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</si>
  <si>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</si>
  <si>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</si>
  <si>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</si>
  <si>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</si>
  <si>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</si>
  <si>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</si>
  <si>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</si>
  <si>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</si>
  <si>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</si>
  <si>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</si>
  <si>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</si>
  <si>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</si>
  <si>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</si>
  <si>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</si>
  <si>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</si>
  <si>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</si>
  <si>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</si>
  <si>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</si>
  <si>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</si>
  <si>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</si>
  <si>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</si>
  <si>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</si>
  <si>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</si>
  <si>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</si>
  <si>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</si>
  <si>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</si>
  <si>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</si>
  <si>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</si>
  <si>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</si>
  <si>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</si>
  <si>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</si>
  <si>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</si>
  <si>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</si>
  <si>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</si>
  <si>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</si>
  <si>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</si>
  <si>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</si>
  <si>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</si>
  <si>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</si>
  <si>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</si>
  <si>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</si>
  <si>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</si>
  <si>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</si>
  <si>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</si>
  <si>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</si>
  <si>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</si>
  <si>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</si>
  <si>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</si>
  <si>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</si>
  <si>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</si>
  <si>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</si>
  <si>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</si>
  <si>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</si>
  <si>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</si>
  <si>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</si>
  <si>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</si>
  <si>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</si>
  <si>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</si>
  <si>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</si>
  <si>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</si>
  <si>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</si>
  <si>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</si>
  <si>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</si>
  <si>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</si>
  <si>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</si>
  <si>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</si>
  <si>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</si>
  <si>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</si>
  <si>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</si>
  <si>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</si>
  <si>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</si>
  <si>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</si>
  <si>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</si>
  <si>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</si>
  <si>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</si>
  <si>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</si>
  <si>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</si>
  <si>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</si>
  <si>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</si>
  <si>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</si>
  <si>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</si>
  <si>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</si>
  <si>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</si>
  <si>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</si>
  <si>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</si>
  <si>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</si>
  <si>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</si>
  <si>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</si>
  <si>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</si>
  <si>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</si>
  <si>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</si>
  <si>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</si>
  <si>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</si>
  <si>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</si>
  <si>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</si>
  <si>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</si>
  <si>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</si>
  <si>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</si>
  <si>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</si>
  <si>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</si>
  <si>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</si>
  <si>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</si>
  <si>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</si>
  <si>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</si>
  <si>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</si>
  <si>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</si>
  <si>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</si>
  <si>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</si>
  <si>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</si>
  <si>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</si>
  <si>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</si>
  <si>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</si>
  <si>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</si>
  <si>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</si>
  <si>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</si>
  <si>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</si>
  <si>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</si>
  <si>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</si>
  <si>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</si>
  <si>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</si>
  <si>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</si>
  <si>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</si>
  <si>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</si>
  <si>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</si>
  <si>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</si>
  <si>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</si>
  <si>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</si>
  <si>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</si>
  <si>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</si>
  <si>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</si>
  <si>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</si>
  <si>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</si>
  <si>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</si>
  <si>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</si>
  <si>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</si>
  <si>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</si>
  <si>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</si>
  <si>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</si>
  <si>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</si>
  <si>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</si>
  <si>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</si>
  <si>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</si>
  <si>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</si>
  <si>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</si>
  <si>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</si>
  <si>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</si>
  <si>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</si>
  <si>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</si>
  <si>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</si>
  <si>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</si>
  <si>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</si>
  <si>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</si>
  <si>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</si>
  <si>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</si>
  <si>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</si>
  <si>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</si>
  <si>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</si>
  <si>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</si>
  <si>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</si>
  <si>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</si>
  <si>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</si>
  <si>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</si>
  <si>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</si>
  <si>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</si>
  <si>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</si>
  <si>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</si>
  <si>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</si>
  <si>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</si>
  <si>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</si>
  <si>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</si>
  <si>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</si>
  <si>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</si>
  <si>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</si>
  <si>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</si>
  <si>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</si>
  <si>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</si>
  <si>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</si>
  <si>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</si>
  <si>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</si>
  <si>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</si>
  <si>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</si>
  <si>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</si>
  <si>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</si>
  <si>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</si>
  <si>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</si>
  <si>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</si>
  <si>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</si>
  <si>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</si>
  <si>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</si>
  <si>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</si>
  <si>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</si>
  <si>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</si>
  <si>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</si>
  <si>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</si>
  <si>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</si>
  <si>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</si>
  <si>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</si>
  <si>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</si>
  <si>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</si>
  <si>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</si>
  <si>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</si>
  <si>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</si>
  <si>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</si>
  <si>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</si>
  <si>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</si>
  <si>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</si>
  <si>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</si>
  <si>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</si>
  <si>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</si>
  <si>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</si>
  <si>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</si>
  <si>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</si>
  <si>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</si>
  <si>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</si>
  <si>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</si>
  <si>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</si>
  <si>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</si>
  <si>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</si>
  <si>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</si>
  <si>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</si>
  <si>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</si>
  <si>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</si>
  <si>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</si>
  <si>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</si>
  <si>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</si>
  <si>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</si>
  <si>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</si>
  <si>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</si>
  <si>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</si>
  <si>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</si>
  <si>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</si>
  <si>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</si>
  <si>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</si>
  <si>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</si>
  <si>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</si>
  <si>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</si>
  <si>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</si>
  <si>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</si>
  <si>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</si>
  <si>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</si>
  <si>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</si>
  <si>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</si>
  <si>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</si>
  <si>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</si>
  <si>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</si>
  <si>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</si>
  <si>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</si>
  <si>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</si>
  <si>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</si>
  <si>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</si>
  <si>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</si>
  <si>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</si>
  <si>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</si>
  <si>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</si>
  <si>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</si>
  <si>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</si>
  <si>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</si>
  <si>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</si>
  <si>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</si>
  <si>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</si>
  <si>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</si>
  <si>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</si>
  <si>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</si>
  <si>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</si>
  <si>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</si>
  <si>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</si>
  <si>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</si>
  <si>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</si>
  <si>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</si>
  <si>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</si>
  <si>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</si>
  <si>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</si>
  <si>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</si>
  <si>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</si>
  <si>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</si>
  <si>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</si>
  <si>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</si>
  <si>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</si>
  <si>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</si>
  <si>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</si>
  <si>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</si>
  <si>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</si>
  <si>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</si>
  <si>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</si>
  <si>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</si>
  <si>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</si>
  <si>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</si>
  <si>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</si>
  <si>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</si>
  <si>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</si>
  <si>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</si>
  <si>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</si>
  <si>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</si>
  <si>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</si>
  <si>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</si>
  <si>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</si>
  <si>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</si>
  <si>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</si>
  <si>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</si>
  <si>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</si>
  <si>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</si>
  <si>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</si>
  <si>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</si>
  <si>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</si>
  <si>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</si>
  <si>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</si>
  <si>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</si>
  <si>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</si>
  <si>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</si>
  <si>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</si>
  <si>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</si>
  <si>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</si>
  <si>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</si>
  <si>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</si>
  <si>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</si>
  <si>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</si>
  <si>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</si>
  <si>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</si>
  <si>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</si>
  <si>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</si>
  <si>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</si>
  <si>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</si>
  <si>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</si>
  <si>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</si>
  <si>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</si>
  <si>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</si>
  <si>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</si>
  <si>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</si>
  <si>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</si>
  <si>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</si>
  <si>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</si>
  <si>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</si>
  <si>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</si>
  <si>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</si>
  <si>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</si>
  <si>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</si>
  <si>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</si>
  <si>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</si>
  <si>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</si>
  <si>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</si>
  <si>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</si>
  <si>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</si>
  <si>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</si>
  <si>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</si>
  <si>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</si>
  <si>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</si>
  <si>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</si>
  <si>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</si>
  <si>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</si>
  <si>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</si>
  <si>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</si>
  <si>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</si>
  <si>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</si>
  <si>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</si>
  <si>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</si>
  <si>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</si>
  <si>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</si>
  <si>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</si>
  <si>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</si>
  <si>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</si>
  <si>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</si>
  <si>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</si>
  <si>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</si>
  <si>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</si>
  <si>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</si>
  <si>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</si>
  <si>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</si>
  <si>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</si>
  <si>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</si>
  <si>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</si>
  <si>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</si>
  <si>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</si>
  <si>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</si>
  <si>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</si>
  <si>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</si>
  <si>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</si>
  <si>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</si>
  <si>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</si>
  <si>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</si>
  <si>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</si>
  <si>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</si>
  <si>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</si>
  <si>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</si>
  <si>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</si>
  <si>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</si>
  <si>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</si>
  <si>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</si>
  <si>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</si>
  <si>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</si>
  <si>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</si>
  <si>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</si>
  <si>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</si>
  <si>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</si>
  <si>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</si>
  <si>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</si>
  <si>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</si>
  <si>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</si>
  <si>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</si>
  <si>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</si>
  <si>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</si>
  <si>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</si>
  <si>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</si>
  <si>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</si>
  <si>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</si>
  <si>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</si>
  <si>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</si>
  <si>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</si>
  <si>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</si>
  <si>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</si>
  <si>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</si>
  <si>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</si>
  <si>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</si>
  <si>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</si>
  <si>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</si>
  <si>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</si>
  <si>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</si>
  <si>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</si>
  <si>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</si>
  <si>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</si>
  <si>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</si>
  <si>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</si>
  <si>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</si>
  <si>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</si>
  <si>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</si>
  <si>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</si>
  <si>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</si>
  <si>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</si>
  <si>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</si>
  <si>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</si>
  <si>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</si>
  <si>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</si>
  <si>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</si>
  <si>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</si>
  <si>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</si>
  <si>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</si>
  <si>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</si>
  <si>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</si>
  <si>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</si>
  <si>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</si>
  <si>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</si>
  <si>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</si>
  <si>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</si>
  <si>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</si>
  <si>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</si>
  <si>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</si>
  <si>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</si>
  <si>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</si>
  <si>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</si>
  <si>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</si>
  <si>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</si>
  <si>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</si>
  <si>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</si>
  <si>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</si>
  <si>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</si>
  <si>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</si>
  <si>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</si>
  <si>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</si>
  <si>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</si>
  <si>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</si>
  <si>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</si>
  <si>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</si>
  <si>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</si>
  <si>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</si>
  <si>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</si>
  <si>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</si>
  <si>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</si>
  <si>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</si>
  <si>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</si>
  <si>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</si>
  <si>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</si>
  <si>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</si>
  <si>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</si>
  <si>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</si>
  <si>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</si>
  <si>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</si>
  <si>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</si>
  <si>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</si>
  <si>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</si>
  <si>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</si>
  <si>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</si>
  <si>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</si>
  <si>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</si>
  <si>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</si>
  <si>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</si>
  <si>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</si>
  <si>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</si>
  <si>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</si>
  <si>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</si>
  <si>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</si>
  <si>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</si>
  <si>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</si>
  <si>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</si>
  <si>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</si>
  <si>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</si>
  <si>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</si>
  <si>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</si>
  <si>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</si>
  <si>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</si>
  <si>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</si>
  <si>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</si>
  <si>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</si>
  <si>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</si>
  <si>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</si>
  <si>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</si>
  <si>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</si>
  <si>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</si>
  <si>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</si>
  <si>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</si>
  <si>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</si>
  <si>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</si>
  <si>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</si>
  <si>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</si>
  <si>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</si>
  <si>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</si>
  <si>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</si>
  <si>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</si>
  <si>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</si>
  <si>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</si>
  <si>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</si>
  <si>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</si>
  <si>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</si>
  <si>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</si>
  <si>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</si>
  <si>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</si>
  <si>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</si>
  <si>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</si>
  <si>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</si>
  <si>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</si>
  <si>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</si>
  <si>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</si>
  <si>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</si>
  <si>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</si>
  <si>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</si>
  <si>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</si>
  <si>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</si>
  <si>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</si>
  <si>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</si>
  <si>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</si>
  <si>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</si>
  <si>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</si>
  <si>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</si>
  <si>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</si>
  <si>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</si>
  <si>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</si>
  <si>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</si>
  <si>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</si>
  <si>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</si>
  <si>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</si>
  <si>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</si>
  <si>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</si>
  <si>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</si>
  <si>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</si>
  <si>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</si>
  <si>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</si>
  <si>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</si>
  <si>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</si>
  <si>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</si>
  <si>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</si>
  <si>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</si>
  <si>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</si>
  <si>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</si>
  <si>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</si>
  <si>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</si>
  <si>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</si>
  <si>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</si>
  <si>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</si>
  <si>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</si>
  <si>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</si>
  <si>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</si>
  <si>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</si>
  <si>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</si>
  <si>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</si>
  <si>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</si>
  <si>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</si>
  <si>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</si>
  <si>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</si>
  <si>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</si>
  <si>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</si>
  <si>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</si>
  <si>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</si>
  <si>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</si>
  <si>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</si>
  <si>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</si>
  <si>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</si>
  <si>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</si>
  <si>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</si>
  <si>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</si>
  <si>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</si>
  <si>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</si>
  <si>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</si>
  <si>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</si>
  <si>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</si>
  <si>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</si>
  <si>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</si>
  <si>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</si>
  <si>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</si>
  <si>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</si>
  <si>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</si>
  <si>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</si>
  <si>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</si>
  <si>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</si>
  <si>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</si>
  <si>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</si>
  <si>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</si>
  <si>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</si>
  <si>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</si>
  <si>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</si>
  <si>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</si>
  <si>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</si>
  <si>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</si>
  <si>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</si>
  <si>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</si>
  <si>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</si>
  <si>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</si>
  <si>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</si>
  <si>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</si>
  <si>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</si>
  <si>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</si>
  <si>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</si>
  <si>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</si>
  <si>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</si>
  <si>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</si>
  <si>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</si>
  <si>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</si>
  <si>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</si>
  <si>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</si>
  <si>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</si>
  <si>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</si>
  <si>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</si>
  <si>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</si>
  <si>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</si>
  <si>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</si>
  <si>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</si>
  <si>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</si>
  <si>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</si>
  <si>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</si>
  <si>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</si>
  <si>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</si>
  <si>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</si>
  <si>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</si>
  <si>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</si>
  <si>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</si>
  <si>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</si>
  <si>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</si>
  <si>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</si>
  <si>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</si>
  <si>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</si>
  <si>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</si>
  <si>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</si>
  <si>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</si>
  <si>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</si>
  <si>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</si>
  <si>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</si>
  <si>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</si>
  <si>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</si>
  <si>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</si>
  <si>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</si>
  <si>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</si>
  <si>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</si>
  <si>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</si>
  <si>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</si>
  <si>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</si>
  <si>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</si>
  <si>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</si>
  <si>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</si>
  <si>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</si>
  <si>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</si>
  <si>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</si>
  <si>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</si>
  <si>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</si>
  <si>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</si>
  <si>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</si>
  <si>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</si>
  <si>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</si>
  <si>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</si>
  <si>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</si>
  <si>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</si>
  <si>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</si>
  <si>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</si>
  <si>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</si>
  <si>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</si>
  <si>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</si>
  <si>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</si>
  <si>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</si>
  <si>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</si>
  <si>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</si>
  <si>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</si>
  <si>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</si>
  <si>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</si>
  <si>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</si>
  <si>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</si>
  <si>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</si>
  <si>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</si>
  <si>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</si>
  <si>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</si>
  <si>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</si>
  <si>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</si>
  <si>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</si>
  <si>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</si>
  <si>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</si>
  <si>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</si>
  <si>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</si>
  <si>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</si>
  <si>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</si>
  <si>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</si>
  <si>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</si>
  <si>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</si>
  <si>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</si>
  <si>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</si>
  <si>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</si>
  <si>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</si>
  <si>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</si>
  <si>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</si>
  <si>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</si>
  <si>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</si>
  <si>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</si>
  <si>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</si>
  <si>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</si>
  <si>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</si>
  <si>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</si>
  <si>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</si>
  <si>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</si>
  <si>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</si>
  <si>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</si>
  <si>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</si>
  <si>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</si>
  <si>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</si>
  <si>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</si>
  <si>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</si>
  <si>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</si>
  <si>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</si>
  <si>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</si>
  <si>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</si>
  <si>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</si>
  <si>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</si>
  <si>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</si>
  <si>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</si>
  <si>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</si>
  <si>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</si>
  <si>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</si>
  <si>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</si>
  <si>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</si>
  <si>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</si>
  <si>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</si>
  <si>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</si>
  <si>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</si>
  <si>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</si>
  <si>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</si>
  <si>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</si>
  <si>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</si>
  <si>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</si>
  <si>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</si>
  <si>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</si>
  <si>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</si>
  <si>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</si>
  <si>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</si>
  <si>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</si>
  <si>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</si>
  <si>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</si>
  <si>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</si>
  <si>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</si>
  <si>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</si>
  <si>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</si>
  <si>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</si>
  <si>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</si>
  <si>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</si>
  <si>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</si>
  <si>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</si>
  <si>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</si>
  <si>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</si>
  <si>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</si>
  <si>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</si>
  <si>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</si>
  <si>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</si>
  <si>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</si>
  <si>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</si>
  <si>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</si>
  <si>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</si>
  <si>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</si>
  <si>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</si>
  <si>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</si>
  <si>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</si>
  <si>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</si>
  <si>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</si>
  <si>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</si>
  <si>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</si>
  <si>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</si>
  <si>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</si>
  <si>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</si>
  <si>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</si>
  <si>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</si>
  <si>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</si>
  <si>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</si>
  <si>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</si>
  <si>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</si>
  <si>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</si>
  <si>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</si>
  <si>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</si>
  <si>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</si>
  <si>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</si>
  <si>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</si>
  <si>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</si>
  <si>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</si>
  <si>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</si>
  <si>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</si>
  <si>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</si>
  <si>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</si>
  <si>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</si>
  <si>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</si>
  <si>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</si>
  <si>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</si>
  <si>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</si>
  <si>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</si>
  <si>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</si>
  <si>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</si>
  <si>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</si>
  <si>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</si>
  <si>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</si>
  <si>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</si>
  <si>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</si>
  <si>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</si>
  <si>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</si>
  <si>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</si>
  <si>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</si>
  <si>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</si>
  <si>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</si>
  <si>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</si>
  <si>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</si>
  <si>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</si>
  <si>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</si>
  <si>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</si>
  <si>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</si>
  <si>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</si>
  <si>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</si>
  <si>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</si>
  <si>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</si>
  <si>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</si>
  <si>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</si>
  <si>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</si>
  <si>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</si>
  <si>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</si>
  <si>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</si>
  <si>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</si>
  <si>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</si>
  <si>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</si>
  <si>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</si>
  <si>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</si>
  <si>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</si>
  <si>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</si>
  <si>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</si>
  <si>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</si>
  <si>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</si>
  <si>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</si>
  <si>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</si>
  <si>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</si>
  <si>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</si>
  <si>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</si>
  <si>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</si>
  <si>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</si>
  <si>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</si>
  <si>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</si>
  <si>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</si>
  <si>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</si>
  <si>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</si>
  <si>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</si>
  <si>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</si>
  <si>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</si>
  <si>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</si>
  <si>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</si>
  <si>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</si>
  <si>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</si>
  <si>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</si>
  <si>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</si>
  <si>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</si>
  <si>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</si>
  <si>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</si>
  <si>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</si>
  <si>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</si>
  <si>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</si>
  <si>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</si>
  <si>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</si>
  <si>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</si>
  <si>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</si>
  <si>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</si>
  <si>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</si>
  <si>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</si>
  <si>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</si>
  <si>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</si>
  <si>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</si>
  <si>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</si>
  <si>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</si>
  <si>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</si>
  <si>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</si>
  <si>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</si>
  <si>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</si>
  <si>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</si>
  <si>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</si>
  <si>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</si>
  <si>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</si>
  <si>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</si>
  <si>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</si>
  <si>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</si>
  <si>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</si>
  <si>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</si>
  <si>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</si>
  <si>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</si>
  <si>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</si>
  <si>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</si>
  <si>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</si>
  <si>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</si>
  <si>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</si>
  <si>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</si>
  <si>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</si>
  <si>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</si>
  <si>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</si>
  <si>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</si>
  <si>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</si>
  <si>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</si>
  <si>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</si>
  <si>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</si>
  <si>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</si>
  <si>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</si>
  <si>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</si>
  <si>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</si>
  <si>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</si>
  <si>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</si>
  <si>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</si>
  <si>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</si>
  <si>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</si>
  <si>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</si>
  <si>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</si>
  <si>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</si>
  <si>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</si>
  <si>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</si>
  <si>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</si>
  <si>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</si>
  <si>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</si>
  <si>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</si>
  <si>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</si>
  <si>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</si>
  <si>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</si>
  <si>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</si>
  <si>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</si>
  <si>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</si>
  <si>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</si>
  <si>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</si>
  <si>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</si>
  <si>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</si>
  <si>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</si>
  <si>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</si>
  <si>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</si>
  <si>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</si>
  <si>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</si>
  <si>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</si>
  <si>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</si>
  <si>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</si>
  <si>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</si>
  <si>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</si>
  <si>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</si>
  <si>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</si>
  <si>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</si>
  <si>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</si>
  <si>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</si>
  <si>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</si>
  <si>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</si>
  <si>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</si>
  <si>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</si>
  <si>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</si>
  <si>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</si>
  <si>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</si>
  <si>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</si>
  <si>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</si>
  <si>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</si>
  <si>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</si>
  <si>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</si>
  <si>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</si>
  <si>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</si>
  <si>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</si>
  <si>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</si>
  <si>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</si>
  <si>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</si>
  <si>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</si>
  <si>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</si>
  <si>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</si>
  <si>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</si>
  <si>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</si>
  <si>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</si>
  <si>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</si>
  <si>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</si>
  <si>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</si>
  <si>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</si>
  <si>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</si>
  <si>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</si>
  <si>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</si>
  <si>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</si>
  <si>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</si>
  <si>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</si>
  <si>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</si>
  <si>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</si>
  <si>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</si>
  <si>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</si>
  <si>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</si>
  <si>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</si>
  <si>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</si>
  <si>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</si>
  <si>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</si>
  <si>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</si>
  <si>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</si>
  <si>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</si>
  <si>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</si>
  <si>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</si>
  <si>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</si>
  <si>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</si>
  <si>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</si>
  <si>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</si>
  <si>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</si>
  <si>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</si>
  <si>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</si>
  <si>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</si>
  <si>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</si>
  <si>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</si>
  <si>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</si>
  <si>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</si>
  <si>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</si>
  <si>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</si>
  <si>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</si>
  <si>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</si>
  <si>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</si>
  <si>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</si>
  <si>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</si>
  <si>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</si>
  <si>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</si>
  <si>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</si>
  <si>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</si>
  <si>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</si>
  <si>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</si>
  <si>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</si>
  <si>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</si>
  <si>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</si>
  <si>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</si>
  <si>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</si>
  <si>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</si>
  <si>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</si>
  <si>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</si>
  <si>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</si>
  <si>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</si>
  <si>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</si>
  <si>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</si>
  <si>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</si>
  <si>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</si>
  <si>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</si>
  <si>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</si>
  <si>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</si>
  <si>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</si>
  <si>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</si>
  <si>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</si>
  <si>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</si>
  <si>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</si>
  <si>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</si>
  <si>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</si>
  <si>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</si>
  <si>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</si>
  <si>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</si>
  <si>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</si>
  <si>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</si>
  <si>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</si>
  <si>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</si>
  <si>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</si>
  <si>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</si>
  <si>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</si>
  <si>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</si>
  <si>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</si>
  <si>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</si>
  <si>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</si>
  <si>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</si>
  <si>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</si>
  <si>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</si>
  <si>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</si>
  <si>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</si>
  <si>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</si>
  <si>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</si>
  <si>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</si>
  <si>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</si>
  <si>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</si>
  <si>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</si>
  <si>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</si>
  <si>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</si>
  <si>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</si>
  <si>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</si>
  <si>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</si>
  <si>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</si>
  <si>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</si>
  <si>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</si>
  <si>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</si>
  <si>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</si>
  <si>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</si>
  <si>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</si>
  <si>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</si>
  <si>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</si>
  <si>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</si>
  <si>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</si>
  <si>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</si>
  <si>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</si>
  <si>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</si>
  <si>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</si>
  <si>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</si>
  <si>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</si>
  <si>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</si>
  <si>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</si>
  <si>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</si>
  <si>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</si>
  <si>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</si>
  <si>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</si>
  <si>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</si>
  <si>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</si>
  <si>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</si>
  <si>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</si>
  <si>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</si>
  <si>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</si>
  <si>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</si>
  <si>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</si>
  <si>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</si>
  <si>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</si>
  <si>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</si>
  <si>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</si>
  <si>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</si>
  <si>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</si>
  <si>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</si>
  <si>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</si>
  <si>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</si>
  <si>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</si>
  <si>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</si>
  <si>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</si>
  <si>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</si>
  <si>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</si>
  <si>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</si>
  <si>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</si>
  <si>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</si>
  <si>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</si>
  <si>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</si>
  <si>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</si>
  <si>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</si>
  <si>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</si>
  <si>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</si>
  <si>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</si>
  <si>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</si>
  <si>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</si>
  <si>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</si>
  <si>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</si>
  <si>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</si>
  <si>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</si>
  <si>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</si>
  <si>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</si>
  <si>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</si>
  <si>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</si>
  <si>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</si>
  <si>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</si>
  <si>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</si>
  <si>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</si>
  <si>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</si>
  <si>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</si>
  <si>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</si>
  <si>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</si>
  <si>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</si>
  <si>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</si>
  <si>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</si>
  <si>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</si>
  <si>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</si>
  <si>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</si>
  <si>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</si>
  <si>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</si>
  <si>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</si>
  <si>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</si>
  <si>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</si>
  <si>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</si>
  <si>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</si>
  <si>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</si>
  <si>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</si>
  <si>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</si>
  <si>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</si>
  <si>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</si>
  <si>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</si>
  <si>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</si>
  <si>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</si>
  <si>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</si>
  <si>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</si>
  <si>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</si>
  <si>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</si>
  <si>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</si>
  <si>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</si>
  <si>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</si>
  <si>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</si>
  <si>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</si>
  <si>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</si>
  <si>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</si>
  <si>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</si>
  <si>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</si>
  <si>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</si>
  <si>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</si>
  <si>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</si>
  <si>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</si>
  <si>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</si>
  <si>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</si>
  <si>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</si>
  <si>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</si>
  <si>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</si>
  <si>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</si>
  <si>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</si>
  <si>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</si>
  <si>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</si>
  <si>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</si>
  <si>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</si>
  <si>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</si>
  <si>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</si>
  <si>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</si>
  <si>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</si>
  <si>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</si>
  <si>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</si>
  <si>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</si>
  <si>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</si>
  <si>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</si>
  <si>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</si>
  <si>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</si>
  <si>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</si>
  <si>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</si>
  <si>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</si>
  <si>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</si>
  <si>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</si>
  <si>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</si>
  <si>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</si>
  <si>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</si>
  <si>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</si>
  <si>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</si>
  <si>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</si>
  <si>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</si>
  <si>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</si>
  <si>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</si>
  <si>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</si>
  <si>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</si>
  <si>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</si>
  <si>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</si>
  <si>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</si>
  <si>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</si>
  <si>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</si>
  <si>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</si>
  <si>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</si>
  <si>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</si>
  <si>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</si>
  <si>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</si>
  <si>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</si>
  <si>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</si>
  <si>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</si>
  <si>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</si>
  <si>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</si>
  <si>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</si>
  <si>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</si>
  <si>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</si>
  <si>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</si>
  <si>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</si>
  <si>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</si>
  <si>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</si>
  <si>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</si>
  <si>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</si>
  <si>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</si>
  <si>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</si>
  <si>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</si>
  <si>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</si>
  <si>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</si>
  <si>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</si>
  <si>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</si>
  <si>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</si>
  <si>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</si>
  <si>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</si>
  <si>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</si>
  <si>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</si>
  <si>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</si>
  <si>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</si>
  <si>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</si>
  <si>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</si>
  <si>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</si>
  <si>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</si>
  <si>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</si>
  <si>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</si>
  <si>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</si>
  <si>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</si>
  <si>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</si>
  <si>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</si>
  <si>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</si>
  <si>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</si>
  <si>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</si>
  <si>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</si>
  <si>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</si>
  <si>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</si>
  <si>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</si>
  <si>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</si>
  <si>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</si>
  <si>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</si>
  <si>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</si>
  <si>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</si>
  <si>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</si>
  <si>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</si>
  <si>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</si>
  <si>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</si>
  <si>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</si>
  <si>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</si>
  <si>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</si>
  <si>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</si>
  <si>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</si>
  <si>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</si>
  <si>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</si>
  <si>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</si>
  <si>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</si>
  <si>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</si>
  <si>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</si>
  <si>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</si>
  <si>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</si>
  <si>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</si>
  <si>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</si>
  <si>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</si>
  <si>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</si>
  <si>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</si>
  <si>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</si>
  <si>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</si>
  <si>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</si>
  <si>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</si>
  <si>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</si>
  <si>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</si>
  <si>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</si>
  <si>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</si>
  <si>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</si>
  <si>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</si>
  <si>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</si>
  <si>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</si>
  <si>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</si>
  <si>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</si>
  <si>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</si>
  <si>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</si>
  <si>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</si>
  <si>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</si>
  <si>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</si>
  <si>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</si>
  <si>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</si>
  <si>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</si>
  <si>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</si>
  <si>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</si>
  <si>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</si>
  <si>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</si>
  <si>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</si>
  <si>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</si>
  <si>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</si>
  <si>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</si>
  <si>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</si>
  <si>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</si>
  <si>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</si>
  <si>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</si>
  <si>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</si>
  <si>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</si>
  <si>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</si>
  <si>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</si>
  <si>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</si>
  <si>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</si>
  <si>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</si>
  <si>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</si>
  <si>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</si>
  <si>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</si>
  <si>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</si>
  <si>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</si>
  <si>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</si>
  <si>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</si>
  <si>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</si>
  <si>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</si>
  <si>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</si>
  <si>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</si>
  <si>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</si>
  <si>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</si>
  <si>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</si>
  <si>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</si>
  <si>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</si>
  <si>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</si>
  <si>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</si>
  <si>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</si>
  <si>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</si>
  <si>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</si>
  <si>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</si>
  <si>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</si>
  <si>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</si>
  <si>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</si>
  <si>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</si>
  <si>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</si>
  <si>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</si>
  <si>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</si>
  <si>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</si>
  <si>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</si>
  <si>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</si>
  <si>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</si>
  <si>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</si>
  <si>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</si>
  <si>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</si>
  <si>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</si>
  <si>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</si>
  <si>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</si>
  <si>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</si>
  <si>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</si>
  <si>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</si>
  <si>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</si>
  <si>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</si>
  <si>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</si>
  <si>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</si>
  <si>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</si>
  <si>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</si>
  <si>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</si>
  <si>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</si>
  <si>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</si>
  <si>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</si>
  <si>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</si>
  <si>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</si>
  <si>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</si>
  <si>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</si>
  <si>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</si>
  <si>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</si>
  <si>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</si>
  <si>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</si>
  <si>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</si>
  <si>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</si>
  <si>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</si>
  <si>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</si>
  <si>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</si>
  <si>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</si>
  <si>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</si>
  <si>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</si>
  <si>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</si>
  <si>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</si>
  <si>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</si>
  <si>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</si>
  <si>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</si>
  <si>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</si>
  <si>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</si>
  <si>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</si>
  <si>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</si>
  <si>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</si>
  <si>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</si>
  <si>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</si>
  <si>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</si>
  <si>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</si>
  <si>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</si>
  <si>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</si>
  <si>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</si>
  <si>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</si>
  <si>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</si>
  <si>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</si>
  <si>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</si>
  <si>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</si>
  <si>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</si>
  <si>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</si>
  <si>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</si>
  <si>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</si>
  <si>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</si>
  <si>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</si>
  <si>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</si>
  <si>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</si>
  <si>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</si>
  <si>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</si>
  <si>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</si>
  <si>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</si>
  <si>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</si>
  <si>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</si>
  <si>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</si>
  <si>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</si>
  <si>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</si>
  <si>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</si>
  <si>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</si>
  <si>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</si>
  <si>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</si>
  <si>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</si>
  <si>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</si>
  <si>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</si>
  <si>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</si>
  <si>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</si>
  <si>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</si>
  <si>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</si>
  <si>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</si>
  <si>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</si>
  <si>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</si>
  <si>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</si>
  <si>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</si>
  <si>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</si>
  <si>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</si>
  <si>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</si>
  <si>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</si>
  <si>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</si>
  <si>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</si>
  <si>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</si>
  <si>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</si>
  <si>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</si>
  <si>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</si>
  <si>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</si>
  <si>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</si>
  <si>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</si>
  <si>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</si>
  <si>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</si>
  <si>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</si>
  <si>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</si>
  <si>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</si>
  <si>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</si>
  <si>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</si>
  <si>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</si>
  <si>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</si>
  <si>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</si>
  <si>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</si>
  <si>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</si>
  <si>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</si>
  <si>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</si>
  <si>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</si>
  <si>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</si>
  <si>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</si>
  <si>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</si>
  <si>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</si>
  <si>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</si>
  <si>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</si>
  <si>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</si>
  <si>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</si>
  <si>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</si>
  <si>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</si>
  <si>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</si>
  <si>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</si>
  <si>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</si>
  <si>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</si>
  <si>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</si>
  <si>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</si>
  <si>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</si>
  <si>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</si>
  <si>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</si>
  <si>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</si>
  <si>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</si>
  <si>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</si>
  <si>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</si>
  <si>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</si>
  <si>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</si>
  <si>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</si>
  <si>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</si>
  <si>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</si>
  <si>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</si>
  <si>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</si>
  <si>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</si>
  <si>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</si>
  <si>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</si>
  <si>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</si>
  <si>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</si>
  <si>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</si>
  <si>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</si>
  <si>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</si>
  <si>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</si>
  <si>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</si>
  <si>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</si>
  <si>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</si>
  <si>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</si>
  <si>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</si>
  <si>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</si>
  <si>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</si>
  <si>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</si>
  <si>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</si>
  <si>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</si>
  <si>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</si>
  <si>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</si>
  <si>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</si>
  <si>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</si>
  <si>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</si>
  <si>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</si>
  <si>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</si>
  <si>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</si>
  <si>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</si>
  <si>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</si>
  <si>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</si>
  <si>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</si>
  <si>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</si>
  <si>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</si>
  <si>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</si>
  <si>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</si>
  <si>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</si>
  <si>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</si>
  <si>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</si>
  <si>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</si>
  <si>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</si>
  <si>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</si>
  <si>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</si>
  <si>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</si>
  <si>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</si>
  <si>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</si>
  <si>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</si>
  <si>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</si>
  <si>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</si>
  <si>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</si>
  <si>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</si>
  <si>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</si>
  <si>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</si>
  <si>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</si>
  <si>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</si>
  <si>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</si>
  <si>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</si>
  <si>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</si>
  <si>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</si>
  <si>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</si>
  <si>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</si>
  <si>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</si>
  <si>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</si>
  <si>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</si>
  <si>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</si>
  <si>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</si>
  <si>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</si>
  <si>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</si>
  <si>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</si>
  <si>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</si>
  <si>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</si>
  <si>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</si>
  <si>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</si>
  <si>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</si>
  <si>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</si>
  <si>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</si>
  <si>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</si>
  <si>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</si>
  <si>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</si>
  <si>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</si>
  <si>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</si>
  <si>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</si>
  <si>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</si>
  <si>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</si>
  <si>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</si>
  <si>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</si>
  <si>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</si>
  <si>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</si>
  <si>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</si>
  <si>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</si>
  <si>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</si>
  <si>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</si>
  <si>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</si>
  <si>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</si>
  <si>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</si>
  <si>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</si>
  <si>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</si>
  <si>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</si>
  <si>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</si>
  <si>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</si>
  <si>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</si>
  <si>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</si>
  <si>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</si>
  <si>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</si>
  <si>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</si>
  <si>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</si>
  <si>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</si>
  <si>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</si>
  <si>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</si>
  <si>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</si>
  <si>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</si>
  <si>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</si>
  <si>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</si>
  <si>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</si>
  <si>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</si>
  <si>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</si>
  <si>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</si>
  <si>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</si>
  <si>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</si>
  <si>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</si>
  <si>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</si>
  <si>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</si>
  <si>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</si>
  <si>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</si>
  <si>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</si>
  <si>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</si>
  <si>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</si>
  <si>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</si>
  <si>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</si>
  <si>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</si>
  <si>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</si>
  <si>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</si>
  <si>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</si>
  <si>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</si>
  <si>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</si>
  <si>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</si>
  <si>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</si>
  <si>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</si>
  <si>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</si>
  <si>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</si>
  <si>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</si>
  <si>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</si>
  <si>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</si>
  <si>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</si>
  <si>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</si>
  <si>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</si>
  <si>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</si>
  <si>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</si>
  <si>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</si>
  <si>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</si>
  <si>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</si>
  <si>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</si>
  <si>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</si>
  <si>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</si>
  <si>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</si>
  <si>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</si>
  <si>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</si>
  <si>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</si>
  <si>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</si>
  <si>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</si>
  <si>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</si>
  <si>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</si>
  <si>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</si>
  <si>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</si>
  <si>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</si>
  <si>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</si>
  <si>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</si>
  <si>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</si>
  <si>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</si>
  <si>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</si>
  <si>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</si>
  <si>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</si>
  <si>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</si>
  <si>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</si>
  <si>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</si>
  <si>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</si>
  <si>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</si>
  <si>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</si>
  <si>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</si>
  <si>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</si>
  <si>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</si>
  <si>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</si>
  <si>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</si>
  <si>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</si>
  <si>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</si>
  <si>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</si>
  <si>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</si>
  <si>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</si>
  <si>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</si>
  <si>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</si>
  <si>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</si>
  <si>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</si>
  <si>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</si>
  <si>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</si>
  <si>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</si>
  <si>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</si>
  <si>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</si>
  <si>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</si>
  <si>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</si>
  <si>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</si>
  <si>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</si>
  <si>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</si>
  <si>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</si>
  <si>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</si>
  <si>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</si>
  <si>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</si>
  <si>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</si>
  <si>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</si>
  <si>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</si>
  <si>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</si>
  <si>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</si>
  <si>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</si>
  <si>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</si>
  <si>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</si>
  <si>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</si>
  <si>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</si>
  <si>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</si>
  <si>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</si>
  <si>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</si>
  <si>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</si>
  <si>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</si>
  <si>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</si>
  <si>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</si>
  <si>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</si>
  <si>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</si>
  <si>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</si>
  <si>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</si>
  <si>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</si>
  <si>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</si>
  <si>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</si>
  <si>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</si>
  <si>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</si>
  <si>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</si>
  <si>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</si>
  <si>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</si>
  <si>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</si>
  <si>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</si>
  <si>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</si>
  <si>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</si>
  <si>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</si>
  <si>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</si>
  <si>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</si>
  <si>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</si>
  <si>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</si>
  <si>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</si>
  <si>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</si>
  <si>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</si>
  <si>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</si>
  <si>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</si>
  <si>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</si>
  <si>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</si>
  <si>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</si>
  <si>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</si>
  <si>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</si>
  <si>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</si>
  <si>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</si>
  <si>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</si>
  <si>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</si>
  <si>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</si>
  <si>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</si>
  <si>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</si>
  <si>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</si>
  <si>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</si>
  <si>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</si>
  <si>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</si>
  <si>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</si>
  <si>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</si>
  <si>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</si>
  <si>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</si>
  <si>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</si>
  <si>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</si>
  <si>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</si>
  <si>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</si>
  <si>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</si>
  <si>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</si>
  <si>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</si>
  <si>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</si>
  <si>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</si>
  <si>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</si>
  <si>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</si>
  <si>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</si>
  <si>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</si>
  <si>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</si>
  <si>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</si>
  <si>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</si>
  <si>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</si>
  <si>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</si>
  <si>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</si>
  <si>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</si>
  <si>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</si>
  <si>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</si>
  <si>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</si>
  <si>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</si>
  <si>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</si>
  <si>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</si>
  <si>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</si>
  <si>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</si>
  <si>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</si>
  <si>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</si>
  <si>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</si>
  <si>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</si>
  <si>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</si>
  <si>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</si>
  <si>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</si>
  <si>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</si>
  <si>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</si>
  <si>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</si>
  <si>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</si>
  <si>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</si>
  <si>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</si>
  <si>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</si>
  <si>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</si>
  <si>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</si>
  <si>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</si>
  <si>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</si>
  <si>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</si>
  <si>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</si>
  <si>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</si>
  <si>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</si>
  <si>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</si>
  <si>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</si>
  <si>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</si>
  <si>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</si>
  <si>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</si>
  <si>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</si>
  <si>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</si>
  <si>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</si>
  <si>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</si>
  <si>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</si>
  <si>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</si>
  <si>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</si>
  <si>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</si>
  <si>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</si>
  <si>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</si>
  <si>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</si>
  <si>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</si>
  <si>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</si>
  <si>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</si>
  <si>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</si>
  <si>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</si>
  <si>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</si>
  <si>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</si>
  <si>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</si>
  <si>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</si>
  <si>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</si>
  <si>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</si>
  <si>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</si>
  <si>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</si>
  <si>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</si>
  <si>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</si>
  <si>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</si>
  <si>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</si>
  <si>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</si>
  <si>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</si>
  <si>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</si>
  <si>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</si>
  <si>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</si>
  <si>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</si>
  <si>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</si>
  <si>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</si>
  <si>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</si>
  <si>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</si>
  <si>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</si>
  <si>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</si>
  <si>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</si>
  <si>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</si>
  <si>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</si>
  <si>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</si>
  <si>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</si>
  <si>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</si>
  <si>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</si>
  <si>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</si>
  <si>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</si>
  <si>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</si>
  <si>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</si>
  <si>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</si>
  <si>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</si>
  <si>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</si>
  <si>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</si>
  <si>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</si>
  <si>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</si>
  <si>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</si>
  <si>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</si>
  <si>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</si>
  <si>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</si>
  <si>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</si>
  <si>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</si>
  <si>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</si>
  <si>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</si>
  <si>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</si>
  <si>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</si>
  <si>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</si>
  <si>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</si>
  <si>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</si>
  <si>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</si>
  <si>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</si>
  <si>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</si>
  <si>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</si>
  <si>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</si>
  <si>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</si>
  <si>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</si>
  <si>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</si>
  <si>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</si>
  <si>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</si>
  <si>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</si>
  <si>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</si>
  <si>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</si>
  <si>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</si>
  <si>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</si>
  <si>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</si>
  <si>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</si>
  <si>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</si>
  <si>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</si>
  <si>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</si>
  <si>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</si>
  <si>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</si>
  <si>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</si>
  <si>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</si>
  <si>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</si>
  <si>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</si>
  <si>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</si>
  <si>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</si>
  <si>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</si>
  <si>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</si>
  <si>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</si>
  <si>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</si>
  <si>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</si>
  <si>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</si>
  <si>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</si>
  <si>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</si>
  <si>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</si>
  <si>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</si>
  <si>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</si>
  <si>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</si>
  <si>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</si>
  <si>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</si>
  <si>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</si>
  <si>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</si>
  <si>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</si>
  <si>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</si>
  <si>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</si>
  <si>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</si>
  <si>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</si>
  <si>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</si>
  <si>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</si>
  <si>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</si>
  <si>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</si>
  <si>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</si>
  <si>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</si>
  <si>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</si>
  <si>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</si>
  <si>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</si>
  <si>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</si>
  <si>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</si>
  <si>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</si>
  <si>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</si>
  <si>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</si>
  <si>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</si>
  <si>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</si>
  <si>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</si>
  <si>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</si>
  <si>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</si>
  <si>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</si>
  <si>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</si>
  <si>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</si>
  <si>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</si>
  <si>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</si>
  <si>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</si>
  <si>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</si>
  <si>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</si>
  <si>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</si>
  <si>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</si>
  <si>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</si>
  <si>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</si>
  <si>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</si>
  <si>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</si>
  <si>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</si>
  <si>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</si>
  <si>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</si>
  <si>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</si>
  <si>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</si>
  <si>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</si>
  <si>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</si>
  <si>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</si>
  <si>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</si>
  <si>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</si>
  <si>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</si>
  <si>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</si>
  <si>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</si>
  <si>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</si>
  <si>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</si>
  <si>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</si>
  <si>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</si>
  <si>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</si>
  <si>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</si>
  <si>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</si>
  <si>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</si>
  <si>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</si>
  <si>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</si>
  <si>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</si>
  <si>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</si>
  <si>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</si>
  <si>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</si>
  <si>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</si>
  <si>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</si>
  <si>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</si>
  <si>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</si>
  <si>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</si>
  <si>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</si>
  <si>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</si>
  <si>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</si>
  <si>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</si>
  <si>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</si>
  <si>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</si>
  <si>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</si>
  <si>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</si>
  <si>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</si>
  <si>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</si>
  <si>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</si>
  <si>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</si>
  <si>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</si>
  <si>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</si>
  <si>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</si>
  <si>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</si>
  <si>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</si>
  <si>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</si>
  <si>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</si>
  <si>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</si>
  <si>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</si>
  <si>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</si>
  <si>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</si>
  <si>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</si>
  <si>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</si>
  <si>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</si>
  <si>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</si>
  <si>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</si>
  <si>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</si>
  <si>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</si>
  <si>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</si>
  <si>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</si>
  <si>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</si>
  <si>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</si>
  <si>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</si>
  <si>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</si>
  <si>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</si>
  <si>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</si>
  <si>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</si>
  <si>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</si>
  <si>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</si>
  <si>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</si>
  <si>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</si>
  <si>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</si>
  <si>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</si>
  <si>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</si>
  <si>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</si>
  <si>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</si>
  <si>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</si>
  <si>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</si>
  <si>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</si>
  <si>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</si>
  <si>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</si>
  <si>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</si>
  <si>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</si>
  <si>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</si>
  <si>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</si>
  <si>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</si>
  <si>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</si>
  <si>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</si>
  <si>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</si>
  <si>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</si>
  <si>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</si>
  <si>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</si>
  <si>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</si>
  <si>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</si>
  <si>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</si>
  <si>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</si>
  <si>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</si>
  <si>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</si>
  <si>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</si>
  <si>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</si>
  <si>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</si>
  <si>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</si>
  <si>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</si>
  <si>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</si>
  <si>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</si>
  <si>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</si>
  <si>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</si>
  <si>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</si>
  <si>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</si>
  <si>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</si>
  <si>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</si>
  <si>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</si>
  <si>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</si>
  <si>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</si>
  <si>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</si>
  <si>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</si>
  <si>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</si>
  <si>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</si>
  <si>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</si>
  <si>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</si>
  <si>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</si>
  <si>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</si>
  <si>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</si>
  <si>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</si>
  <si>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</si>
  <si>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</si>
  <si>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</si>
  <si>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</si>
  <si>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</si>
  <si>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</si>
  <si>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</si>
  <si>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</si>
  <si>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</si>
  <si>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</si>
  <si>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</si>
  <si>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</si>
  <si>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</si>
  <si>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</si>
  <si>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</si>
  <si>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</si>
  <si>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</si>
  <si>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</si>
  <si>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</si>
  <si>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</si>
  <si>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</si>
  <si>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</si>
  <si>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</si>
  <si>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</si>
  <si>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</si>
  <si>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</si>
  <si>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</si>
  <si>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</si>
  <si>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</si>
  <si>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</si>
  <si>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</si>
  <si>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</si>
  <si>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</si>
  <si>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</si>
  <si>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</si>
  <si>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</si>
  <si>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</si>
  <si>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</si>
  <si>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</si>
  <si>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</si>
  <si>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</si>
  <si>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</si>
  <si>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</si>
  <si>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</si>
  <si>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</si>
  <si>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</si>
  <si>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</si>
  <si>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</si>
  <si>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</si>
  <si>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</si>
  <si>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</si>
  <si>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</si>
  <si>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</si>
  <si>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</si>
  <si>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</si>
  <si>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</si>
  <si>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</si>
  <si>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</si>
  <si>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</si>
  <si>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</si>
  <si>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</si>
  <si>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</si>
  <si>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</si>
  <si>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</si>
  <si>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</si>
  <si>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</si>
  <si>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</si>
  <si>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</si>
  <si>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</si>
  <si>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</si>
  <si>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</si>
  <si>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</si>
  <si>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</si>
  <si>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</si>
  <si>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</si>
  <si>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</si>
  <si>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</si>
  <si>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</si>
  <si>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</si>
  <si>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</si>
  <si>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</si>
  <si>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</si>
  <si>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</si>
  <si>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</si>
  <si>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</si>
  <si>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</si>
  <si>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</si>
  <si>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</si>
  <si>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</si>
  <si>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</si>
  <si>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</si>
  <si>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</si>
  <si>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</si>
  <si>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</si>
  <si>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</si>
  <si>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</si>
  <si>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</si>
  <si>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</si>
  <si>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</si>
  <si>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</si>
  <si>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</si>
  <si>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</si>
  <si>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</si>
  <si>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</si>
  <si>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</si>
  <si>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</si>
  <si>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</si>
  <si>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</si>
  <si>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</si>
  <si>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</si>
  <si>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</si>
  <si>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</si>
  <si>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</si>
  <si>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</si>
  <si>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</si>
  <si>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</si>
  <si>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</si>
  <si>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</si>
  <si>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</si>
  <si>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</si>
  <si>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</si>
  <si>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</si>
  <si>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</si>
  <si>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</si>
  <si>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</si>
  <si>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</si>
  <si>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</si>
  <si>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</si>
  <si>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</si>
  <si>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</si>
  <si>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</si>
  <si>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</si>
  <si>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</si>
  <si>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</si>
  <si>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</si>
  <si>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</si>
  <si>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</si>
  <si>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</si>
  <si>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</si>
  <si>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</si>
  <si>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</si>
  <si>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</si>
  <si>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</si>
  <si>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</si>
  <si>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</si>
  <si>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</si>
  <si>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</si>
  <si>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</si>
  <si>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</si>
  <si>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</si>
  <si>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</si>
  <si>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</si>
  <si>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</si>
  <si>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</si>
  <si>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</si>
  <si>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</si>
  <si>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</si>
  <si>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</si>
  <si>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</si>
  <si>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</si>
  <si>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</si>
  <si>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</si>
  <si>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</si>
  <si>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</si>
  <si>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</si>
  <si>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</si>
  <si>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</si>
  <si>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</si>
  <si>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</si>
  <si>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</si>
  <si>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</si>
  <si>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</si>
  <si>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</si>
  <si>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</si>
  <si>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</si>
  <si>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</si>
  <si>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</si>
  <si>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</si>
  <si>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</si>
  <si>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</si>
  <si>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</si>
  <si>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</si>
  <si>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</si>
  <si>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</si>
  <si>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</si>
  <si>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</si>
  <si>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</si>
  <si>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</si>
  <si>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</si>
  <si>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</si>
  <si>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</si>
  <si>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</si>
  <si>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</si>
  <si>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</si>
  <si>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</si>
  <si>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</si>
  <si>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</si>
  <si>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</si>
  <si>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</si>
  <si>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</si>
  <si>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</si>
  <si>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</si>
  <si>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</si>
  <si>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</si>
  <si>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</si>
  <si>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</si>
  <si>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</si>
  <si>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</si>
  <si>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</si>
  <si>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</si>
  <si>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</si>
  <si>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</si>
  <si>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</si>
  <si>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</si>
  <si>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</si>
  <si>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</si>
  <si>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</si>
  <si>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</si>
  <si>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</si>
  <si>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</si>
  <si>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</si>
  <si>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</si>
  <si>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</si>
  <si>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</si>
  <si>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</si>
  <si>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</si>
  <si>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</si>
  <si>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</si>
  <si>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</si>
  <si>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</si>
  <si>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</si>
  <si>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</si>
  <si>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</si>
  <si>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</si>
  <si>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</si>
  <si>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</si>
  <si>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</si>
  <si>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</si>
  <si>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</si>
  <si>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</si>
  <si>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</si>
  <si>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</si>
  <si>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</si>
  <si>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</si>
  <si>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</si>
  <si>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</si>
  <si>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</si>
  <si>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</si>
  <si>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</si>
  <si>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</si>
  <si>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</si>
  <si>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</si>
  <si>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</si>
  <si>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</si>
  <si>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</si>
  <si>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</si>
  <si>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</si>
  <si>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</si>
  <si>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</si>
  <si>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</si>
  <si>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</si>
  <si>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</si>
  <si>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</si>
  <si>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</si>
  <si>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</si>
  <si>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</si>
  <si>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</si>
  <si>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</si>
  <si>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</si>
  <si>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</si>
  <si>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</si>
  <si>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</si>
  <si>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</si>
  <si>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</si>
  <si>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</si>
  <si>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</si>
  <si>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</si>
  <si>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</si>
  <si>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</si>
  <si>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</si>
  <si>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</si>
  <si>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</si>
  <si>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</si>
  <si>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</si>
  <si>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</si>
  <si>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</si>
  <si>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</si>
  <si>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</si>
  <si>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</si>
  <si>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</si>
  <si>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</si>
  <si>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</si>
  <si>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</si>
  <si>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</si>
  <si>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</si>
  <si>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</si>
  <si>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</si>
  <si>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</si>
  <si>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</si>
  <si>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</si>
  <si>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</si>
  <si>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</si>
  <si>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</si>
  <si>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</si>
  <si>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</si>
  <si>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</si>
  <si>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</si>
  <si>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</si>
  <si>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</si>
  <si>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</si>
  <si>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</si>
  <si>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</si>
  <si>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</si>
  <si>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</si>
  <si>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</si>
  <si>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</si>
  <si>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</si>
  <si>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</si>
  <si>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</si>
  <si>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</si>
  <si>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</si>
  <si>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</si>
  <si>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</si>
  <si>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</si>
  <si>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</si>
  <si>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</si>
  <si>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</si>
  <si>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</si>
  <si>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</si>
  <si>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</si>
  <si>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</si>
  <si>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</si>
  <si>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</si>
  <si>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</si>
  <si>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</si>
  <si>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</si>
  <si>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</si>
  <si>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</si>
  <si>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</si>
  <si>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</si>
  <si>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</si>
  <si>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</si>
  <si>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</si>
  <si>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</si>
  <si>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</si>
  <si>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</si>
  <si>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</si>
  <si>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</si>
  <si>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</si>
  <si>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</si>
  <si>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</si>
  <si>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</si>
  <si>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</si>
  <si>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</si>
  <si>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</si>
  <si>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</si>
  <si>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</si>
  <si>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</si>
  <si>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</si>
  <si>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</si>
  <si>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</si>
  <si>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</si>
  <si>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</si>
  <si>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</si>
  <si>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</si>
  <si>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</si>
  <si>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</si>
  <si>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</si>
  <si>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</si>
  <si>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</si>
  <si>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</si>
  <si>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</si>
  <si>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</si>
  <si>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</si>
  <si>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</si>
  <si>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</si>
  <si>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</si>
  <si>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</si>
  <si>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</si>
  <si>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</si>
  <si>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</si>
  <si>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</si>
  <si>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</si>
  <si>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</si>
  <si>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</si>
  <si>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</si>
  <si>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</si>
  <si>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</si>
  <si>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</si>
  <si>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</si>
  <si>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</si>
  <si>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</si>
  <si>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</si>
  <si>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</si>
  <si>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</si>
  <si>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</si>
  <si>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</si>
  <si>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</si>
  <si>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</si>
  <si>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</si>
  <si>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</si>
  <si>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</si>
  <si>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</si>
  <si>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</si>
  <si>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</si>
  <si>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</si>
  <si>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</si>
  <si>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</si>
  <si>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</si>
  <si>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</si>
  <si>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</si>
  <si>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</si>
  <si>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</si>
  <si>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</si>
  <si>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</si>
  <si>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</si>
  <si>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</si>
  <si>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</si>
  <si>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</si>
  <si>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</si>
  <si>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</si>
  <si>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</si>
  <si>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</si>
  <si>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</si>
  <si>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</si>
  <si>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</si>
  <si>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</si>
  <si>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</si>
  <si>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</si>
  <si>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</si>
  <si>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</si>
  <si>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</si>
  <si>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</si>
  <si>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</si>
  <si>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</si>
  <si>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</si>
  <si>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</si>
  <si>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</si>
  <si>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</si>
  <si>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</si>
  <si>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</si>
  <si>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</si>
  <si>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</si>
  <si>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</si>
  <si>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</si>
  <si>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</si>
  <si>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</si>
  <si>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</si>
  <si>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</si>
  <si>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</si>
  <si>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</si>
  <si>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</si>
  <si>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</si>
  <si>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</si>
  <si>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</si>
  <si>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</si>
  <si>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</si>
  <si>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</si>
  <si>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</si>
  <si>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</si>
  <si>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</si>
  <si>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</si>
  <si>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</si>
  <si>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</si>
  <si>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</si>
  <si>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</si>
  <si>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</si>
  <si>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</si>
  <si>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</si>
  <si>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</si>
  <si>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</si>
  <si>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</si>
  <si>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</si>
  <si>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</si>
  <si>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</si>
  <si>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</si>
  <si>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</si>
  <si>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</si>
  <si>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</si>
  <si>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</si>
  <si>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</si>
  <si>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</si>
  <si>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</si>
  <si>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</si>
  <si>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</si>
  <si>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</si>
  <si>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</si>
  <si>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</si>
  <si>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</si>
  <si>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</si>
  <si>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</si>
  <si>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</si>
  <si>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</si>
  <si>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</si>
  <si>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</si>
  <si>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</si>
  <si>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</si>
  <si>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</si>
  <si>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</si>
  <si>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</si>
  <si>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</si>
  <si>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</si>
  <si>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</si>
  <si>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</si>
  <si>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</si>
  <si>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</si>
  <si>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</si>
  <si>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</si>
  <si>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</si>
  <si>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</si>
  <si>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</si>
  <si>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</si>
  <si>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</si>
  <si>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</si>
  <si>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</si>
  <si>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</si>
  <si>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</si>
  <si>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</si>
  <si>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</si>
  <si>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</si>
  <si>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</si>
  <si>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</si>
  <si>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</si>
  <si>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</si>
  <si>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</si>
  <si>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</si>
  <si>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</si>
  <si>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</si>
  <si>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</si>
  <si>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</si>
  <si>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</si>
  <si>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</si>
  <si>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</si>
  <si>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</si>
  <si>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</si>
  <si>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</si>
  <si>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</si>
  <si>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</si>
  <si>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</si>
  <si>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</si>
  <si>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</si>
  <si>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</si>
  <si>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</si>
  <si>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</si>
  <si>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</si>
  <si>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</si>
  <si>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</si>
  <si>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</si>
  <si>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</si>
  <si>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</si>
  <si>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</si>
  <si>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</si>
  <si>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</si>
  <si>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</si>
  <si>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</si>
  <si>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</si>
  <si>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</si>
  <si>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</si>
  <si>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</si>
  <si>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</si>
  <si>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</si>
  <si>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</si>
  <si>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</si>
  <si>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</si>
  <si>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</si>
  <si>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</si>
  <si>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</si>
  <si>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</si>
  <si>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</si>
  <si>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</si>
  <si>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</si>
  <si>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</si>
  <si>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</si>
  <si>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</si>
  <si>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</si>
  <si>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</si>
  <si>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</si>
  <si>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</si>
  <si>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</si>
  <si>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</si>
  <si>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</si>
  <si>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</si>
  <si>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</si>
  <si>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</si>
  <si>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</si>
  <si>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</si>
  <si>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</si>
  <si>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</si>
  <si>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</si>
  <si>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</si>
  <si>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</si>
  <si>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</si>
  <si>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</si>
  <si>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</si>
  <si>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</si>
  <si>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</si>
  <si>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</si>
  <si>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</si>
  <si>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</si>
  <si>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</si>
  <si>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</si>
  <si>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</si>
  <si>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</si>
  <si>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</si>
  <si>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</si>
  <si>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</si>
  <si>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</si>
  <si>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</si>
  <si>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</si>
  <si>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</si>
  <si>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</si>
  <si>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</si>
  <si>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</si>
  <si>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</si>
  <si>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</si>
  <si>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</si>
  <si>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</si>
  <si>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</si>
  <si>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</si>
  <si>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</si>
  <si>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</si>
  <si>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</si>
  <si>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</si>
  <si>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</si>
  <si>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</si>
  <si>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</si>
  <si>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</si>
  <si>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</si>
  <si>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</si>
  <si>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</si>
  <si>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</si>
  <si>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</si>
  <si>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</si>
  <si>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</si>
  <si>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</si>
  <si>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</si>
  <si>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</si>
  <si>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</si>
  <si>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</si>
  <si>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</si>
  <si>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</si>
  <si>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</si>
  <si>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</si>
  <si>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</si>
  <si>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</si>
  <si>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</si>
  <si>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</si>
  <si>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</si>
  <si>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</si>
  <si>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</si>
  <si>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</si>
  <si>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</si>
  <si>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</si>
  <si>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</si>
  <si>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</si>
  <si>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</si>
  <si>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</si>
  <si>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</si>
  <si>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</si>
  <si>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</si>
  <si>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</si>
  <si>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</si>
  <si>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</si>
  <si>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</si>
  <si>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</si>
  <si>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</si>
  <si>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</si>
  <si>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</si>
  <si>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</si>
  <si>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</si>
  <si>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</si>
  <si>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</si>
  <si>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</si>
  <si>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</si>
  <si>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</si>
  <si>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</si>
  <si>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</si>
  <si>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</si>
  <si>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</si>
  <si>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</si>
  <si>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</si>
  <si>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</si>
  <si>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</si>
  <si>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</si>
  <si>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</si>
  <si>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</si>
  <si>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</si>
  <si>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</si>
  <si>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</si>
  <si>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</si>
  <si>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</si>
  <si>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</si>
  <si>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</si>
  <si>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</si>
  <si>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</si>
  <si>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</si>
  <si>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</si>
  <si>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</si>
  <si>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</si>
  <si>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</si>
  <si>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</si>
  <si>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</si>
  <si>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</si>
  <si>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</si>
  <si>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</si>
  <si>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</si>
  <si>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</si>
  <si>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</si>
  <si>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</si>
  <si>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</si>
  <si>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</si>
  <si>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</si>
  <si>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</si>
  <si>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</si>
  <si>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</si>
  <si>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</si>
  <si>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</si>
  <si>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</si>
  <si>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</si>
  <si>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</si>
  <si>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</si>
  <si>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</si>
  <si>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</si>
  <si>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</si>
  <si>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</si>
  <si>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</si>
  <si>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</si>
  <si>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</si>
  <si>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</si>
  <si>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</si>
  <si>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</si>
  <si>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</si>
  <si>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</si>
  <si>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</si>
  <si>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</si>
  <si>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</si>
  <si>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</si>
  <si>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</si>
  <si>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</si>
  <si>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</si>
  <si>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</si>
  <si>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</si>
  <si>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</si>
  <si>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</si>
  <si>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</si>
  <si>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</si>
  <si>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</si>
  <si>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</si>
  <si>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</si>
  <si>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</si>
  <si>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</si>
  <si>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</si>
  <si>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</si>
  <si>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</si>
  <si>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</si>
  <si>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</si>
  <si>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</si>
  <si>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</si>
  <si>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</si>
  <si>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</si>
  <si>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</si>
  <si>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</si>
  <si>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</si>
  <si>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</si>
  <si>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</si>
  <si>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</si>
  <si>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</si>
  <si>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</si>
  <si>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</si>
  <si>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</si>
  <si>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</si>
  <si>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</si>
  <si>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</si>
  <si>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</si>
  <si>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</si>
  <si>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</si>
  <si>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</si>
  <si>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</si>
  <si>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</si>
  <si>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</si>
  <si>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</si>
  <si>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</si>
  <si>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</si>
  <si>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</si>
  <si>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</si>
  <si>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</si>
  <si>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</si>
  <si>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</si>
  <si>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</si>
  <si>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</si>
  <si>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</si>
  <si>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</si>
  <si>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</si>
  <si>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</si>
  <si>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</si>
  <si>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</si>
  <si>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</si>
  <si>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</si>
  <si>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</si>
  <si>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</si>
  <si>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</si>
  <si>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</si>
  <si>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</si>
  <si>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</si>
  <si>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</si>
  <si>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</si>
  <si>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</si>
  <si>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</si>
  <si>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</si>
  <si>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</si>
  <si>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</si>
  <si>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</si>
  <si>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</si>
  <si>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</si>
  <si>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</si>
  <si>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</si>
  <si>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</si>
  <si>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</si>
  <si>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</si>
  <si>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</si>
  <si>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</si>
  <si>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</si>
  <si>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</si>
  <si>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</si>
  <si>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</si>
  <si>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</si>
  <si>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</si>
  <si>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</si>
  <si>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</si>
  <si>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</si>
  <si>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</si>
  <si>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</si>
  <si>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</si>
  <si>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</si>
  <si>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</si>
  <si>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</si>
  <si>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</si>
  <si>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</si>
  <si>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</si>
  <si>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</si>
  <si>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</si>
  <si>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</si>
  <si>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</si>
  <si>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</si>
  <si>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</si>
  <si>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</si>
  <si>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</si>
  <si>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</si>
  <si>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</si>
  <si>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</si>
  <si>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</si>
  <si>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</si>
  <si>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</si>
  <si>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</si>
  <si>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</si>
  <si>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</si>
  <si>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</si>
  <si>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</si>
  <si>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</si>
  <si>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</si>
  <si>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</si>
  <si>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</si>
  <si>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</si>
  <si>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</si>
  <si>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</si>
  <si>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</si>
  <si>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</si>
  <si>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</si>
  <si>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</si>
  <si>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</si>
  <si>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</si>
  <si>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</si>
  <si>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</si>
  <si>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</si>
  <si>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</si>
  <si>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</si>
  <si>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</si>
  <si>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</si>
  <si>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</si>
  <si>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</si>
  <si>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</si>
  <si>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</si>
  <si>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</si>
  <si>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</si>
  <si>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</si>
  <si>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</si>
  <si>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</si>
  <si>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</si>
  <si>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</si>
  <si>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</si>
  <si>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</si>
  <si>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</si>
  <si>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</si>
  <si>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</si>
  <si>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</si>
  <si>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</si>
  <si>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</si>
  <si>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</si>
  <si>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</si>
  <si>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</si>
  <si>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</si>
  <si>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</si>
  <si>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</si>
  <si>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</si>
  <si>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</si>
  <si>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</si>
  <si>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</si>
  <si>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</si>
  <si>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</si>
  <si>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</si>
  <si>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</si>
  <si>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</si>
  <si>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</si>
  <si>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</si>
  <si>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</si>
  <si>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</si>
  <si>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</si>
  <si>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</si>
  <si>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</si>
  <si>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</si>
  <si>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</si>
  <si>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</si>
  <si>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</si>
  <si>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</si>
  <si>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</si>
  <si>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</si>
  <si>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</si>
  <si>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</si>
  <si>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</si>
  <si>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</si>
  <si>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</si>
  <si>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</si>
  <si>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</si>
  <si>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</si>
  <si>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</si>
  <si>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</si>
  <si>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</si>
  <si>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</si>
  <si>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</si>
  <si>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</si>
  <si>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</si>
  <si>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</si>
  <si>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</si>
  <si>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</si>
  <si>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</si>
  <si>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</si>
  <si>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</si>
  <si>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</si>
  <si>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</si>
  <si>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</si>
  <si>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</si>
  <si>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</si>
  <si>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</si>
  <si>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</si>
  <si>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</si>
  <si>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</si>
  <si>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</si>
  <si>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</si>
  <si>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</si>
  <si>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</si>
  <si>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</si>
  <si>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</si>
  <si>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</si>
  <si>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</si>
  <si>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</si>
  <si>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</si>
  <si>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</si>
  <si>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</si>
  <si>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</si>
  <si>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</si>
  <si>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</si>
  <si>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</si>
  <si>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</si>
  <si>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</si>
  <si>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</si>
  <si>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</si>
  <si>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</si>
  <si>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</si>
  <si>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</si>
  <si>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</si>
  <si>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</si>
  <si>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</si>
  <si>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</si>
  <si>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</si>
  <si>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</si>
  <si>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</si>
  <si>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</si>
  <si>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</si>
  <si>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</si>
  <si>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</si>
  <si>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</si>
  <si>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</si>
  <si>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</si>
  <si>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</si>
  <si>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</si>
  <si>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</si>
  <si>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</si>
  <si>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</si>
  <si>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</si>
  <si>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</si>
  <si>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</si>
  <si>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</si>
  <si>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</si>
  <si>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</si>
  <si>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</si>
  <si>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</si>
  <si>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</si>
  <si>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</si>
  <si>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</si>
  <si>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</si>
  <si>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</si>
  <si>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</si>
  <si>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</si>
  <si>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</si>
  <si>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</si>
  <si>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</si>
  <si>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</si>
  <si>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</si>
  <si>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</si>
  <si>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</si>
  <si>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</si>
  <si>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</si>
  <si>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</si>
  <si>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</si>
  <si>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</si>
  <si>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</si>
  <si>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</si>
  <si>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</si>
  <si>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</si>
  <si>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</si>
  <si>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</si>
  <si>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</si>
  <si>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</si>
  <si>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</si>
  <si>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</si>
  <si>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</si>
  <si>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</si>
  <si>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</si>
  <si>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</si>
  <si>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</si>
  <si>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</si>
  <si>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</si>
  <si>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</si>
  <si>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</si>
  <si>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</si>
  <si>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</si>
  <si>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</si>
  <si>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</si>
  <si>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</si>
  <si>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</si>
  <si>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</si>
  <si>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</si>
  <si>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</si>
  <si>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</si>
  <si>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</si>
  <si>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</si>
  <si>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</si>
  <si>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</si>
  <si>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</si>
  <si>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</si>
  <si>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</si>
  <si>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</si>
  <si>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</si>
  <si>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</si>
  <si>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</si>
  <si>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</si>
  <si>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</si>
  <si>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</si>
  <si>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</si>
  <si>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</si>
  <si>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</si>
  <si>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</si>
  <si>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</si>
  <si>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</si>
  <si>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</si>
  <si>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</si>
  <si>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</si>
  <si>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</si>
  <si>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</si>
  <si>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</si>
  <si>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</si>
  <si>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</si>
  <si>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</si>
  <si>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</si>
  <si>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</si>
  <si>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</si>
  <si>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</si>
  <si>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</si>
  <si>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</si>
  <si>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</si>
  <si>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</si>
  <si>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</si>
  <si>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</si>
  <si>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</si>
  <si>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</si>
  <si>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</si>
  <si>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</si>
  <si>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</si>
  <si>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</si>
  <si>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</si>
  <si>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</si>
  <si>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</si>
  <si>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</si>
  <si>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</si>
  <si>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</si>
  <si>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</si>
  <si>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</si>
  <si>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</si>
  <si>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</si>
  <si>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</si>
  <si>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</si>
  <si>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</si>
  <si>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</si>
  <si>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</si>
  <si>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</si>
  <si>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</si>
  <si>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</si>
  <si>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</si>
  <si>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</si>
  <si>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</si>
  <si>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</si>
  <si>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</si>
  <si>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</si>
  <si>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</si>
  <si>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</si>
  <si>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</si>
  <si>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</si>
  <si>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</si>
  <si>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</si>
  <si>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</si>
  <si>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</si>
  <si>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</si>
  <si>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</si>
  <si>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</si>
  <si>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</si>
  <si>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</si>
  <si>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</si>
  <si>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</si>
  <si>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</si>
  <si>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</si>
  <si>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</si>
  <si>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</si>
  <si>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</si>
  <si>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</si>
  <si>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</si>
  <si>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</si>
  <si>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</si>
  <si>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</si>
  <si>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</si>
  <si>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</si>
  <si>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</si>
  <si>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</si>
  <si>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</si>
  <si>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</si>
  <si>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</si>
  <si>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</si>
  <si>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</si>
  <si>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</si>
  <si>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</si>
  <si>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</si>
  <si>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</si>
  <si>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</si>
  <si>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</si>
  <si>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</si>
  <si>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</si>
  <si>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</si>
  <si>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</si>
  <si>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</si>
  <si>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</si>
  <si>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</si>
  <si>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</si>
  <si>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</si>
  <si>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</si>
  <si>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</si>
  <si>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</si>
  <si>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</si>
  <si>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</si>
  <si>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</si>
  <si>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</si>
  <si>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</si>
  <si>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</si>
  <si>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</si>
  <si>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</si>
  <si>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</si>
  <si>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</si>
  <si>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</si>
  <si>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</si>
  <si>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</si>
  <si>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</si>
  <si>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</si>
  <si>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</si>
  <si>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</si>
  <si>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</si>
  <si>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</si>
  <si>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</si>
  <si>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</si>
  <si>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</si>
  <si>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</si>
  <si>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</si>
  <si>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</si>
  <si>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</si>
  <si>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</si>
  <si>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</si>
  <si>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</si>
  <si>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</si>
  <si>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</si>
  <si>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</si>
  <si>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</si>
  <si>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</si>
  <si>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</si>
  <si>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</si>
  <si>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</si>
  <si>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</si>
  <si>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</si>
  <si>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</si>
  <si>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</si>
  <si>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</si>
  <si>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</si>
  <si>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</si>
  <si>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</si>
  <si>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</si>
  <si>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</si>
  <si>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</si>
  <si>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</si>
  <si>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</si>
  <si>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</si>
  <si>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</si>
  <si>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</si>
  <si>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</si>
  <si>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</si>
  <si>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</si>
  <si>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</si>
  <si>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</si>
  <si>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</si>
  <si>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</si>
  <si>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</si>
  <si>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</si>
  <si>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</si>
  <si>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</si>
  <si>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</si>
  <si>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</si>
  <si>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</si>
  <si>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</si>
  <si>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</si>
  <si>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</si>
  <si>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</si>
  <si>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</si>
  <si>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</si>
  <si>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</si>
  <si>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</si>
  <si>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</si>
  <si>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</si>
  <si>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</si>
  <si>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</si>
  <si>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</si>
  <si>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</si>
  <si>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</si>
  <si>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</si>
  <si>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</si>
  <si>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</si>
  <si>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</si>
  <si>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</si>
  <si>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</si>
  <si>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</si>
  <si>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</si>
  <si>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</si>
  <si>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</si>
  <si>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</si>
  <si>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</si>
  <si>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</si>
  <si>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</si>
  <si>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</si>
  <si>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</si>
  <si>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</si>
  <si>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</si>
  <si>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</si>
  <si>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</si>
  <si>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</si>
  <si>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</si>
  <si>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</si>
  <si>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</si>
  <si>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</si>
  <si>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</si>
  <si>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</si>
  <si>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</si>
  <si>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</si>
  <si>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</si>
  <si>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</si>
  <si>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</si>
  <si>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</si>
  <si>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</si>
  <si>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</si>
  <si>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</si>
  <si>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</si>
  <si>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</si>
  <si>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</si>
  <si>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</si>
  <si>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</si>
  <si>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</si>
  <si>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</si>
  <si>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</si>
  <si>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</si>
  <si>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</si>
  <si>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</si>
  <si>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</si>
  <si>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</si>
  <si>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</si>
  <si>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</si>
  <si>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</si>
  <si>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</si>
  <si>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</si>
  <si>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</si>
  <si>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</si>
  <si>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</si>
  <si>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</si>
  <si>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</si>
  <si>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</si>
  <si>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</si>
  <si>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</si>
  <si>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</si>
  <si>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</si>
  <si>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</si>
  <si>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</si>
  <si>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</si>
  <si>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</si>
  <si>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</si>
  <si>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</si>
  <si>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</si>
  <si>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</si>
  <si>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</si>
  <si>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</si>
  <si>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</si>
  <si>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</si>
  <si>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</si>
  <si>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</si>
  <si>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</si>
  <si>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</si>
  <si>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</si>
  <si>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</si>
  <si>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</si>
  <si>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</si>
  <si>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</si>
  <si>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</si>
  <si>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</si>
  <si>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</si>
  <si>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</si>
  <si>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</si>
  <si>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</si>
  <si>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</si>
  <si>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</si>
  <si>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</si>
  <si>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</si>
  <si>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</si>
  <si>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</si>
  <si>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</si>
  <si>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</si>
  <si>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</si>
  <si>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</si>
  <si>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</si>
  <si>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</si>
  <si>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</si>
  <si>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</si>
  <si>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</si>
  <si>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</si>
  <si>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</si>
  <si>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</si>
  <si>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</si>
  <si>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</si>
  <si>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</si>
  <si>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</si>
  <si>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</si>
  <si>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</si>
  <si>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</si>
  <si>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</si>
  <si>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</si>
  <si>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</si>
  <si>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</si>
  <si>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</si>
  <si>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</si>
  <si>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</si>
  <si>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</si>
  <si>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</si>
  <si>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</si>
  <si>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</si>
  <si>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</si>
  <si>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</si>
  <si>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</si>
  <si>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</si>
  <si>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</si>
  <si>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</si>
  <si>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</si>
  <si>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</si>
  <si>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</si>
  <si>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</si>
  <si>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</si>
  <si>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</si>
  <si>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</si>
  <si>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</si>
  <si>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</si>
  <si>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</si>
  <si>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</si>
  <si>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</si>
  <si>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</si>
  <si>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</si>
  <si>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</si>
  <si>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</si>
  <si>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</si>
  <si>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</si>
  <si>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</si>
  <si>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</si>
  <si>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</si>
  <si>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</si>
  <si>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</si>
  <si>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</si>
  <si>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</si>
  <si>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</si>
  <si>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</si>
  <si>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</si>
  <si>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</si>
  <si>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</si>
  <si>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</si>
  <si>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</si>
  <si>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</si>
  <si>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</si>
  <si>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</si>
  <si>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</si>
  <si>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</si>
  <si>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</si>
  <si>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</si>
  <si>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</si>
  <si>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</si>
  <si>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</si>
  <si>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</si>
  <si>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</si>
  <si>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</si>
  <si>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</si>
  <si>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</si>
  <si>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</si>
  <si>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</si>
  <si>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</si>
  <si>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</si>
  <si>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</si>
  <si>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</si>
  <si>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</si>
  <si>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</si>
  <si>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</si>
  <si>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</si>
  <si>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</si>
  <si>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</si>
  <si>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</si>
  <si>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</si>
  <si>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</si>
  <si>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</si>
  <si>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</si>
  <si>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</si>
  <si>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</si>
  <si>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</si>
  <si>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</si>
  <si>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</si>
  <si>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</si>
  <si>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</si>
  <si>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</si>
  <si>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</si>
  <si>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</si>
  <si>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</si>
  <si>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</si>
  <si>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</si>
  <si>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</si>
  <si>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</si>
  <si>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</si>
  <si>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</si>
  <si>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</si>
  <si>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</si>
  <si>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</si>
  <si>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</si>
  <si>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</si>
  <si>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</si>
  <si>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</si>
  <si>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</si>
  <si>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</si>
  <si>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</si>
  <si>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</si>
  <si>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</si>
  <si>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</si>
  <si>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</si>
  <si>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</si>
  <si>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</si>
  <si>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</si>
  <si>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</si>
  <si>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</si>
  <si>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</si>
  <si>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</si>
  <si>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</si>
  <si>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</si>
  <si>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</si>
  <si>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</si>
  <si>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</si>
  <si>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</si>
  <si>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</si>
  <si>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</si>
  <si>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</si>
  <si>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</si>
  <si>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</si>
  <si>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</si>
  <si>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</si>
  <si>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</si>
  <si>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</si>
  <si>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</si>
  <si>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</si>
  <si>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</si>
  <si>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</si>
  <si>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</si>
  <si>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</si>
  <si>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</si>
  <si>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</si>
  <si>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</si>
  <si>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</si>
  <si>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</si>
  <si>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</si>
  <si>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</si>
  <si>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</si>
  <si>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</si>
  <si>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</si>
  <si>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</si>
  <si>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</si>
  <si>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</si>
  <si>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</si>
  <si>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</si>
  <si>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</si>
  <si>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</si>
  <si>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</si>
  <si>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</si>
  <si>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</si>
  <si>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</si>
  <si>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</si>
  <si>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</si>
  <si>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</si>
  <si>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</si>
  <si>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</si>
  <si>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</si>
  <si>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</si>
  <si>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</si>
  <si>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</si>
  <si>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</si>
  <si>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</si>
  <si>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</si>
  <si>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</si>
  <si>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</si>
  <si>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</si>
  <si>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</si>
  <si>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</si>
  <si>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</si>
  <si>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</si>
  <si>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</si>
  <si>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</si>
  <si>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</si>
  <si>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</si>
  <si>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</si>
  <si>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</si>
  <si>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</si>
  <si>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</si>
  <si>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</si>
  <si>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</si>
  <si>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</si>
  <si>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</si>
  <si>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</si>
  <si>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</si>
  <si>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</si>
  <si>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</si>
  <si>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</si>
  <si>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</si>
  <si>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</si>
  <si>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</si>
  <si>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</si>
  <si>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</si>
  <si>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</si>
  <si>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</si>
  <si>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</si>
  <si>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</si>
  <si>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</si>
  <si>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</si>
  <si>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</si>
  <si>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</si>
  <si>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</si>
  <si>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</si>
  <si>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</si>
  <si>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</si>
  <si>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</si>
  <si>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</si>
  <si>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</si>
  <si>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</si>
  <si>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</si>
  <si>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</si>
  <si>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</si>
  <si>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</si>
  <si>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</si>
  <si>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</si>
  <si>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</si>
  <si>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</si>
  <si>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</si>
  <si>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</si>
  <si>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</si>
  <si>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</si>
  <si>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</si>
  <si>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</si>
  <si>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</si>
  <si>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</si>
  <si>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</si>
  <si>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</si>
  <si>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</si>
  <si>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</si>
  <si>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</si>
  <si>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</si>
  <si>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</si>
  <si>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</si>
  <si>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</si>
  <si>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</si>
  <si>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</si>
  <si>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</si>
  <si>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</si>
  <si>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</si>
  <si>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</si>
  <si>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</si>
  <si>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</si>
  <si>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</si>
  <si>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</si>
  <si>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</si>
  <si>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</si>
  <si>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</si>
  <si>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</si>
  <si>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</si>
  <si>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</si>
  <si>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</si>
  <si>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</si>
  <si>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</si>
  <si>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</si>
  <si>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</si>
  <si>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</si>
  <si>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</si>
  <si>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</si>
  <si>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</si>
  <si>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</si>
  <si>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</si>
  <si>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</si>
  <si>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</si>
  <si>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</si>
  <si>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</si>
  <si>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</si>
  <si>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</si>
  <si>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</si>
  <si>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</si>
  <si>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</si>
  <si>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</si>
  <si>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</si>
  <si>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</si>
  <si>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</si>
  <si>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</si>
  <si>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</si>
  <si>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</si>
  <si>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</si>
  <si>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</si>
  <si>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</si>
  <si>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</si>
  <si>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</si>
  <si>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</si>
  <si>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</si>
  <si>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</si>
  <si>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</si>
  <si>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</si>
  <si>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</si>
  <si>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</si>
  <si>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</si>
  <si>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</si>
  <si>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</si>
  <si>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</si>
  <si>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</si>
  <si>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</si>
  <si>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</si>
  <si>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</si>
  <si>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</si>
  <si>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</si>
  <si>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</si>
  <si>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</si>
  <si>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</si>
  <si>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</si>
  <si>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</si>
  <si>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</si>
  <si>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</si>
  <si>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</si>
  <si>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</si>
  <si>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</si>
  <si>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</si>
  <si>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</si>
  <si>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</si>
  <si>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</si>
  <si>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</si>
  <si>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</si>
  <si>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</si>
  <si>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</si>
  <si>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</si>
  <si>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</si>
  <si>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</si>
  <si>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</si>
  <si>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</si>
  <si>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</si>
  <si>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</si>
  <si>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</si>
  <si>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</si>
  <si>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</si>
  <si>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</si>
  <si>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</si>
  <si>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</si>
  <si>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</si>
  <si>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</si>
  <si>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</si>
  <si>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</si>
  <si>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</si>
  <si>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</si>
  <si>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</si>
  <si>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</si>
  <si>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</si>
  <si>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</si>
  <si>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</si>
  <si>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</si>
  <si>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</si>
  <si>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</si>
  <si>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</si>
  <si>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</si>
  <si>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</si>
  <si>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</si>
  <si>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</si>
  <si>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</si>
  <si>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</si>
  <si>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</si>
  <si>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</si>
  <si>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</si>
  <si>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</si>
  <si>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</si>
  <si>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</si>
  <si>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</si>
  <si>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</si>
  <si>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</si>
  <si>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</si>
  <si>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</si>
  <si>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</si>
  <si>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</si>
  <si>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</si>
  <si>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</si>
  <si>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</si>
  <si>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</si>
  <si>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</si>
  <si>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</si>
  <si>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</si>
  <si>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</si>
  <si>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</si>
  <si>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</si>
  <si>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</si>
  <si>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</si>
  <si>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</si>
  <si>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</si>
  <si>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</si>
  <si>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</si>
  <si>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</si>
  <si>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</si>
  <si>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</si>
  <si>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</si>
  <si>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</si>
  <si>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</si>
  <si>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</si>
  <si>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</si>
  <si>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</si>
  <si>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</si>
  <si>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</si>
  <si>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</si>
  <si>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</si>
  <si>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</si>
  <si>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</si>
  <si>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</si>
  <si>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</si>
  <si>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</si>
  <si>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</si>
  <si>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</si>
  <si>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</si>
  <si>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</si>
  <si>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</si>
  <si>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</si>
  <si>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</si>
  <si>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</si>
  <si>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</si>
  <si>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</si>
  <si>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</si>
  <si>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</si>
  <si>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</si>
  <si>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</si>
  <si>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</si>
  <si>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</si>
  <si>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</si>
  <si>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</si>
  <si>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</si>
  <si>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</si>
  <si>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</si>
  <si>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</si>
  <si>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</si>
  <si>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</si>
  <si>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</si>
  <si>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</si>
  <si>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</si>
  <si>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</si>
  <si>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</si>
  <si>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</si>
  <si>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</si>
  <si>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</si>
  <si>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</si>
  <si>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</si>
  <si>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</si>
  <si>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</si>
  <si>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</si>
  <si>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</si>
  <si>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</si>
  <si>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</si>
  <si>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</si>
  <si>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</si>
  <si>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</si>
  <si>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</si>
  <si>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</si>
  <si>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</si>
  <si>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</si>
  <si>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</si>
  <si>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</si>
  <si>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</si>
  <si>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</si>
  <si>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</si>
  <si>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</si>
  <si>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</si>
  <si>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</si>
  <si>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</si>
  <si>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</si>
  <si>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</si>
  <si>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</si>
  <si>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</si>
  <si>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</si>
  <si>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</si>
  <si>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</si>
  <si>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</si>
  <si>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</si>
  <si>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</si>
  <si>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</si>
  <si>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</si>
  <si>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</si>
  <si>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</si>
  <si>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</si>
  <si>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</si>
  <si>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</si>
  <si>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</si>
  <si>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</si>
  <si>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</si>
  <si>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</si>
  <si>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</si>
  <si>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</si>
  <si>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</si>
  <si>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</si>
  <si>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</si>
  <si>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</si>
  <si>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</si>
  <si>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</si>
  <si>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</si>
  <si>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</si>
  <si>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</si>
  <si>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</si>
  <si>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</si>
  <si>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</si>
  <si>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</si>
  <si>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</si>
  <si>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</si>
  <si>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</si>
  <si>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</si>
  <si>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</si>
  <si>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</si>
  <si>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</si>
  <si>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</si>
  <si>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</si>
  <si>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</si>
  <si>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</si>
  <si>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</si>
  <si>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</si>
  <si>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</si>
  <si>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</si>
  <si>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</si>
  <si>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</si>
  <si>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</si>
  <si>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</si>
  <si>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</si>
  <si>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</si>
  <si>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</si>
  <si>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</si>
  <si>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</si>
  <si>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</si>
  <si>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</si>
  <si>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</si>
  <si>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</si>
  <si>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</si>
  <si>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</si>
  <si>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</si>
  <si>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</si>
  <si>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</si>
  <si>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</si>
  <si>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</si>
  <si>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</si>
  <si>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</si>
  <si>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</si>
  <si>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</si>
  <si>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</si>
  <si>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</si>
  <si>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</si>
  <si>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</si>
  <si>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</si>
  <si>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</si>
  <si>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</si>
  <si>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</si>
  <si>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</si>
  <si>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</si>
  <si>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</si>
  <si>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</si>
  <si>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</si>
  <si>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</si>
  <si>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</si>
  <si>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</si>
  <si>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</si>
  <si>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</si>
  <si>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</si>
  <si>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</si>
  <si>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</si>
  <si>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</si>
  <si>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</si>
  <si>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</si>
  <si>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</si>
  <si>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</si>
  <si>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</si>
  <si>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</si>
  <si>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</si>
  <si>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</si>
  <si>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</si>
  <si>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</si>
  <si>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</si>
  <si>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</si>
  <si>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</si>
  <si>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</si>
  <si>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</si>
  <si>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</si>
  <si>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</si>
  <si>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</si>
  <si>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</si>
  <si>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</si>
  <si>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</si>
  <si>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</si>
  <si>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</si>
  <si>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</si>
  <si>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</si>
  <si>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</si>
  <si>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</si>
  <si>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</si>
  <si>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</si>
  <si>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</si>
  <si>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</si>
  <si>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</si>
  <si>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</si>
  <si>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</si>
  <si>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</si>
  <si>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</si>
  <si>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</si>
  <si>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</si>
  <si>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</si>
  <si>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</si>
  <si>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</si>
  <si>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</si>
  <si>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</si>
  <si>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</si>
  <si>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</si>
  <si>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</si>
  <si>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</si>
  <si>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</si>
  <si>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</si>
  <si>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</si>
  <si>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</si>
  <si>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</si>
  <si>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</si>
  <si>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</si>
  <si>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</si>
  <si>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</si>
  <si>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</si>
  <si>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</si>
  <si>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</si>
  <si>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</si>
  <si>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</si>
  <si>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</si>
  <si>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</si>
  <si>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</si>
  <si>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</si>
  <si>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</si>
  <si>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</si>
  <si>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</si>
  <si>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</si>
  <si>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</si>
  <si>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</si>
  <si>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</si>
  <si>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</si>
  <si>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</si>
  <si>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</si>
  <si>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</si>
  <si>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</si>
  <si>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</si>
  <si>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</si>
  <si>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</si>
  <si>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</si>
  <si>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</si>
  <si>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</si>
  <si>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</si>
  <si>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</si>
  <si>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</si>
  <si>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</si>
  <si>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</si>
  <si>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</si>
  <si>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</si>
  <si>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</si>
  <si>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</si>
  <si>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</si>
  <si>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</si>
  <si>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</si>
  <si>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</si>
  <si>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</si>
  <si>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</si>
  <si>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</si>
  <si>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</si>
  <si>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</si>
  <si>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</si>
  <si>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</si>
  <si>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</si>
  <si>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</si>
  <si>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</si>
  <si>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</si>
  <si>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</si>
  <si>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</si>
  <si>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</si>
  <si>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</si>
  <si>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</si>
  <si>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</si>
  <si>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</si>
  <si>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</si>
  <si>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</si>
  <si>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</si>
  <si>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</si>
  <si>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</si>
  <si>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</si>
  <si>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</si>
  <si>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</si>
  <si>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</si>
  <si>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</si>
  <si>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</si>
  <si>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</si>
  <si>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</si>
  <si>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</si>
  <si>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</si>
  <si>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</si>
  <si>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</si>
  <si>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</si>
  <si>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</si>
  <si>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</si>
  <si>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</si>
  <si>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</si>
  <si>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</si>
  <si>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</si>
  <si>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</si>
  <si>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</si>
  <si>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</si>
  <si>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</si>
  <si>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</si>
  <si>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</si>
  <si>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</si>
  <si>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</si>
  <si>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</si>
  <si>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</si>
  <si>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</si>
  <si>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</si>
  <si>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</si>
  <si>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</si>
  <si>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</si>
  <si>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</si>
  <si>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</si>
  <si>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</si>
  <si>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</si>
  <si>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</si>
  <si>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</si>
  <si>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</si>
  <si>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</si>
  <si>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</si>
  <si>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</si>
  <si>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</si>
  <si>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</si>
  <si>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</si>
  <si>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</si>
  <si>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</si>
  <si>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</si>
  <si>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</si>
  <si>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</si>
  <si>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</si>
  <si>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</si>
  <si>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</si>
  <si>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</si>
  <si>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</si>
  <si>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</si>
  <si>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</si>
  <si>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</si>
  <si>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</si>
  <si>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</si>
  <si>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</si>
  <si>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</si>
  <si>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</si>
  <si>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</si>
  <si>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</si>
  <si>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</si>
  <si>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</si>
  <si>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</si>
  <si>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</si>
  <si>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</si>
  <si>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</si>
  <si>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</si>
  <si>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</si>
  <si>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</si>
  <si>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</si>
  <si>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</si>
  <si>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</si>
  <si>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</si>
  <si>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</si>
  <si>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</si>
  <si>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</si>
  <si>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</si>
  <si>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</si>
  <si>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</si>
  <si>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</si>
  <si>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</si>
  <si>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</si>
  <si>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</si>
  <si>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</si>
  <si>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</si>
  <si>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</si>
  <si>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</si>
  <si>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</si>
  <si>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</si>
  <si>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</si>
  <si>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</si>
  <si>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</si>
  <si>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</si>
  <si>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</si>
  <si>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</si>
  <si>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</si>
  <si>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</si>
  <si>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</si>
  <si>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</si>
  <si>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</si>
  <si>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</si>
  <si>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</si>
  <si>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</si>
  <si>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</si>
  <si>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</si>
  <si>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</si>
  <si>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</si>
  <si>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</si>
  <si>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</si>
  <si>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</si>
  <si>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</si>
  <si>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</si>
  <si>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</si>
  <si>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</si>
  <si>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</si>
  <si>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</si>
  <si>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</si>
  <si>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</si>
  <si>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</si>
  <si>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</si>
  <si>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</si>
  <si>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</si>
  <si>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</si>
  <si>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</si>
  <si>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</si>
  <si>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</si>
  <si>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</si>
  <si>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</si>
  <si>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</si>
  <si>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</si>
  <si>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</si>
  <si>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</si>
  <si>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</si>
  <si>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</si>
  <si>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</si>
  <si>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</si>
  <si>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</si>
  <si>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</si>
  <si>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</si>
  <si>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</si>
  <si>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</si>
  <si>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</si>
  <si>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</si>
  <si>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</si>
  <si>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</si>
  <si>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</si>
  <si>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</si>
  <si>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</si>
  <si>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</si>
  <si>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</si>
  <si>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</si>
  <si>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</si>
  <si>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</si>
  <si>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</si>
  <si>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</si>
  <si>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</si>
  <si>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</si>
  <si>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</si>
  <si>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</si>
  <si>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</si>
  <si>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</si>
  <si>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</si>
  <si>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</si>
  <si>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</si>
  <si>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</si>
  <si>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</si>
  <si>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</si>
  <si>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</si>
  <si>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</si>
  <si>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</si>
  <si>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</si>
  <si>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</si>
  <si>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</si>
  <si>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</si>
  <si>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</si>
  <si>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</si>
  <si>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</si>
  <si>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</si>
  <si>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</si>
  <si>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</si>
  <si>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</si>
  <si>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</si>
  <si>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</si>
  <si>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</si>
  <si>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</si>
  <si>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</si>
  <si>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</si>
  <si>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</si>
  <si>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</si>
  <si>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</si>
  <si>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</si>
  <si>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</si>
  <si>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</si>
  <si>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</si>
  <si>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</si>
  <si>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</si>
  <si>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</si>
  <si>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</si>
  <si>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</si>
  <si>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</si>
  <si>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</si>
  <si>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</si>
  <si>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</si>
  <si>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</si>
  <si>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</si>
  <si>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</si>
  <si>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</si>
  <si>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</si>
  <si>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</si>
  <si>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</si>
  <si>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</si>
  <si>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</si>
  <si>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</si>
  <si>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</si>
  <si>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</si>
  <si>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</si>
  <si>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</si>
  <si>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</si>
  <si>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</si>
  <si>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</si>
  <si>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</si>
  <si>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</si>
  <si>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</si>
  <si>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</si>
  <si>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</si>
  <si>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</si>
  <si>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</si>
  <si>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</si>
  <si>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</si>
  <si>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</si>
  <si>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</si>
  <si>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</si>
  <si>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</si>
  <si>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</si>
  <si>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</si>
  <si>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</si>
  <si>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</si>
  <si>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</si>
  <si>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</si>
  <si>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</si>
  <si>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</si>
  <si>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</si>
  <si>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</si>
  <si>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</si>
  <si>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</si>
  <si>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</si>
  <si>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</si>
  <si>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</si>
  <si>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</si>
  <si>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</si>
  <si>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</si>
  <si>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</si>
  <si>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</si>
  <si>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</si>
  <si>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</si>
  <si>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</si>
  <si>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</si>
  <si>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</si>
  <si>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</si>
  <si>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</si>
  <si>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</si>
  <si>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</si>
  <si>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</si>
  <si>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</si>
  <si>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</si>
  <si>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</si>
  <si>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</si>
  <si>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</si>
  <si>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</si>
  <si>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</si>
  <si>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</si>
  <si>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</si>
  <si>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</si>
  <si>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</si>
  <si>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</si>
  <si>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</si>
  <si>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</si>
  <si>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</si>
  <si>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</si>
  <si>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</si>
  <si>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</si>
  <si>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</si>
  <si>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</si>
  <si>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</si>
  <si>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</si>
  <si>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</si>
  <si>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</si>
  <si>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</si>
  <si>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</si>
  <si>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</si>
  <si>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</si>
  <si>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</si>
  <si>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</si>
  <si>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</si>
  <si>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</si>
  <si>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</si>
  <si>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</si>
  <si>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</si>
  <si>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</si>
  <si>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</si>
  <si>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</si>
  <si>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</si>
  <si>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</si>
  <si>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</si>
  <si>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</si>
  <si>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</si>
  <si>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</si>
  <si>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</si>
  <si>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</si>
  <si>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</si>
  <si>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</si>
  <si>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</si>
  <si>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</si>
  <si>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</si>
  <si>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</si>
  <si>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</si>
  <si>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</si>
  <si>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</si>
  <si>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</si>
  <si>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</si>
  <si>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</si>
  <si>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</si>
  <si>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</si>
  <si>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</si>
  <si>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</si>
  <si>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</si>
  <si>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</si>
  <si>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</si>
  <si>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</si>
  <si>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</si>
  <si>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</si>
  <si>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</si>
  <si>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</si>
  <si>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</si>
  <si>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</si>
  <si>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</si>
  <si>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</si>
  <si>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</si>
  <si>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</si>
  <si>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</si>
  <si>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</si>
  <si>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</si>
  <si>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</si>
  <si>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</si>
  <si>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</si>
  <si>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</si>
  <si>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</si>
  <si>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</si>
  <si>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</si>
  <si>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</si>
  <si>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</si>
  <si>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</si>
  <si>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</si>
  <si>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</si>
  <si>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</si>
  <si>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</si>
  <si>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</si>
  <si>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</si>
  <si>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</si>
  <si>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</si>
  <si>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</si>
  <si>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</si>
  <si>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</si>
  <si>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</si>
  <si>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</si>
  <si>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</si>
  <si>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</si>
  <si>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</si>
  <si>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</si>
  <si>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</si>
  <si>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</si>
  <si>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</si>
  <si>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</si>
  <si>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</si>
  <si>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</si>
  <si>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</si>
  <si>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</si>
  <si>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</si>
  <si>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</si>
  <si>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</si>
  <si>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</si>
  <si>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</si>
  <si>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</si>
  <si>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</si>
  <si>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</si>
  <si>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</si>
  <si>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</si>
  <si>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</si>
  <si>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</si>
  <si>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</si>
  <si>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</si>
  <si>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</si>
  <si>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</si>
  <si>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</si>
  <si>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</si>
  <si>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</si>
  <si>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</si>
  <si>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</si>
  <si>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</si>
  <si>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</si>
  <si>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</si>
  <si>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</si>
  <si>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</si>
  <si>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</si>
  <si>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</si>
  <si>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</si>
  <si>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</si>
  <si>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</si>
  <si>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</si>
  <si>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</si>
  <si>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</si>
  <si>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</si>
  <si>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</si>
  <si>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</si>
  <si>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</si>
  <si>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</si>
  <si>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</si>
  <si>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</si>
  <si>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</si>
  <si>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</si>
  <si>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</si>
  <si>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</si>
  <si>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</si>
  <si>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</si>
  <si>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</si>
  <si>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</si>
  <si>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</si>
  <si>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</si>
  <si>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</si>
  <si>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</si>
  <si>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</si>
  <si>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</si>
  <si>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</si>
  <si>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</si>
  <si>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</si>
  <si>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</si>
  <si>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</si>
  <si>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</si>
  <si>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</si>
  <si>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</si>
  <si>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</si>
  <si>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</si>
  <si>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</si>
  <si>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</si>
  <si>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</si>
  <si>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</si>
  <si>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</si>
  <si>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</si>
  <si>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</si>
  <si>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</si>
  <si>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</si>
  <si>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</si>
  <si>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</si>
  <si>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</si>
  <si>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</si>
  <si>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</si>
  <si>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</si>
  <si>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</si>
  <si>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</si>
  <si>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</si>
  <si>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</si>
  <si>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</si>
  <si>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</si>
  <si>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</si>
  <si>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</si>
  <si>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</si>
  <si>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</si>
  <si>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</si>
  <si>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</si>
  <si>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</si>
  <si>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</si>
  <si>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</si>
  <si>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</si>
  <si>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</si>
  <si>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</si>
  <si>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</si>
  <si>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</si>
  <si>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</si>
  <si>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</si>
  <si>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</si>
  <si>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</si>
  <si>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</si>
  <si>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</si>
  <si>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</si>
  <si>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</si>
  <si>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</si>
  <si>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</si>
  <si>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</si>
  <si>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</si>
  <si>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</si>
  <si>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</si>
  <si>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</si>
  <si>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</si>
  <si>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</si>
  <si>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</si>
  <si>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</si>
  <si>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</si>
  <si>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</si>
  <si>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</si>
  <si>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</si>
  <si>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</si>
  <si>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</si>
  <si>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</si>
  <si>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</si>
  <si>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</si>
  <si>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</si>
  <si>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</si>
  <si>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</si>
  <si>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</si>
  <si>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</si>
  <si>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</si>
  <si>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</si>
  <si>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</si>
  <si>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</si>
  <si>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</si>
  <si>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</si>
  <si>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</si>
  <si>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</si>
  <si>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</si>
  <si>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</si>
  <si>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</si>
  <si>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</si>
  <si>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</si>
  <si>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</si>
  <si>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</si>
  <si>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</si>
  <si>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</si>
  <si>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</si>
  <si>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</si>
  <si>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</si>
  <si>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</si>
  <si>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</si>
  <si>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</si>
  <si>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</si>
  <si>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</si>
  <si>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</si>
  <si>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</si>
  <si>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</si>
  <si>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</si>
  <si>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</si>
  <si>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</si>
  <si>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</si>
  <si>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</si>
  <si>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</si>
  <si>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</si>
  <si>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</si>
  <si>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</si>
  <si>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</si>
  <si>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</si>
  <si>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</si>
  <si>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</si>
  <si>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</si>
  <si>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</si>
  <si>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</si>
  <si>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</si>
  <si>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</si>
  <si>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</si>
  <si>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</si>
  <si>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</si>
  <si>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</si>
  <si>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</si>
  <si>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</si>
  <si>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</si>
  <si>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</si>
  <si>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</si>
  <si>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</si>
  <si>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</si>
  <si>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</si>
  <si>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</si>
  <si>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</si>
  <si>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</si>
  <si>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</si>
  <si>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</si>
  <si>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</si>
  <si>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</si>
  <si>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</si>
  <si>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</si>
  <si>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</si>
  <si>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</si>
  <si>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</si>
  <si>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</si>
  <si>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</si>
  <si>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</si>
  <si>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</si>
  <si>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</si>
  <si>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</si>
  <si>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</si>
  <si>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</si>
  <si>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</si>
  <si>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</si>
  <si>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</si>
  <si>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</si>
  <si>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</si>
  <si>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</si>
  <si>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</si>
  <si>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</si>
  <si>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</si>
  <si>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</si>
  <si>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</si>
  <si>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</si>
  <si>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</si>
  <si>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</si>
  <si>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</si>
  <si>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</si>
  <si>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</si>
  <si>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</si>
  <si>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</si>
  <si>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</si>
  <si>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</si>
  <si>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</si>
  <si>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</si>
  <si>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</si>
  <si>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</si>
  <si>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</si>
  <si>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</si>
  <si>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</si>
  <si>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</si>
  <si>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</si>
  <si>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</si>
  <si>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</si>
  <si>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</si>
  <si>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</si>
  <si>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</si>
  <si>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</si>
  <si>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</si>
  <si>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</si>
  <si>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</si>
  <si>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</si>
  <si>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</si>
  <si>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</si>
  <si>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</si>
  <si>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</si>
  <si>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</si>
  <si>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</si>
  <si>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</si>
  <si>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</si>
  <si>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</si>
  <si>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</si>
  <si>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</si>
  <si>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</si>
  <si>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</si>
  <si>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</si>
  <si>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</si>
  <si>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</si>
  <si>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</si>
  <si>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</si>
  <si>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</si>
  <si>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</si>
  <si>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</si>
  <si>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</si>
  <si>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</si>
  <si>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</si>
  <si>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</si>
  <si>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</si>
  <si>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</si>
  <si>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</si>
  <si>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</si>
  <si>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</si>
  <si>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</si>
  <si>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</si>
  <si>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</si>
  <si>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</si>
  <si>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</si>
  <si>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</si>
  <si>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</si>
  <si>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</si>
  <si>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</si>
  <si>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</si>
  <si>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</si>
  <si>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</si>
  <si>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</si>
  <si>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</si>
  <si>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</si>
  <si>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</si>
  <si>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</si>
  <si>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</si>
  <si>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</si>
  <si>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</si>
  <si>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</si>
  <si>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</si>
  <si>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</si>
  <si>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</si>
  <si>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</si>
  <si>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</si>
  <si>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</si>
  <si>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</si>
  <si>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</si>
  <si>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</si>
  <si>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</si>
  <si>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</si>
  <si>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</si>
  <si>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</si>
  <si>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</si>
  <si>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</si>
  <si>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</si>
  <si>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</si>
  <si>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</si>
  <si>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</si>
  <si>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</si>
  <si>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</si>
  <si>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</si>
  <si>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</si>
  <si>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</si>
  <si>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</si>
  <si>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</si>
  <si>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</si>
  <si>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</si>
  <si>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</si>
  <si>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</si>
  <si>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</si>
  <si>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</si>
  <si>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</si>
  <si>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</si>
  <si>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</si>
  <si>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</si>
  <si>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</si>
  <si>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</si>
  <si>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</si>
  <si>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</si>
  <si>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</si>
  <si>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</si>
  <si>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</si>
  <si>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</si>
  <si>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</si>
  <si>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</si>
  <si>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</si>
  <si>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</si>
  <si>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</si>
  <si>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</si>
  <si>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</si>
  <si>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</si>
  <si>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</si>
  <si>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</si>
  <si>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</si>
  <si>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</si>
  <si>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</si>
  <si>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</si>
  <si>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</si>
  <si>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</si>
  <si>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</si>
  <si>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</si>
  <si>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</si>
  <si>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</si>
  <si>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</si>
  <si>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</si>
  <si>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</si>
  <si>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</si>
  <si>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</si>
  <si>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</si>
  <si>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</si>
  <si>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</si>
  <si>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</si>
  <si>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</si>
  <si>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</si>
  <si>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</si>
  <si>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</si>
  <si>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</si>
  <si>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</si>
  <si>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</si>
  <si>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</si>
  <si>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</si>
  <si>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</si>
  <si>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</si>
  <si>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</si>
  <si>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</si>
  <si>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</si>
  <si>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</si>
  <si>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</si>
  <si>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</si>
  <si>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</si>
  <si>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</si>
  <si>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</si>
  <si>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</si>
  <si>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</si>
  <si>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</si>
  <si>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</si>
  <si>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</si>
  <si>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</si>
  <si>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</si>
  <si>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</si>
  <si>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</si>
  <si>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</si>
  <si>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</si>
  <si>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</si>
  <si>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</si>
  <si>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</si>
  <si>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</si>
  <si>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</si>
  <si>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</si>
  <si>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</si>
  <si>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</si>
  <si>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</si>
  <si>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</si>
  <si>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</si>
  <si>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</si>
  <si>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</si>
  <si>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</si>
  <si>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</si>
  <si>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</si>
  <si>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</si>
  <si>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</si>
  <si>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</si>
  <si>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</si>
  <si>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</si>
  <si>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</si>
  <si>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</si>
  <si>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</si>
  <si>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</si>
  <si>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</si>
  <si>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</si>
  <si>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</si>
  <si>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</si>
  <si>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</si>
  <si>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</si>
  <si>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</si>
  <si>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</si>
  <si>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</si>
  <si>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</si>
  <si>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</si>
  <si>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</si>
  <si>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</si>
  <si>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</si>
  <si>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</si>
  <si>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</si>
  <si>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</si>
  <si>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</si>
  <si>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</si>
  <si>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</si>
  <si>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</si>
  <si>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</si>
  <si>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</si>
  <si>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</si>
  <si>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</si>
  <si>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</si>
  <si>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</si>
  <si>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</si>
  <si>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</si>
  <si>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</si>
  <si>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</si>
  <si>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</si>
  <si>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</si>
  <si>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</si>
  <si>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</si>
  <si>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</si>
  <si>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</si>
  <si>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</si>
  <si>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</si>
  <si>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</si>
  <si>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</si>
  <si>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</si>
  <si>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</si>
  <si>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</si>
  <si>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</si>
  <si>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</si>
  <si>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</si>
  <si>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</si>
  <si>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</si>
  <si>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</si>
  <si>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</si>
  <si>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</si>
  <si>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</si>
  <si>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</si>
  <si>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</si>
  <si>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</si>
  <si>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</si>
  <si>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</si>
  <si>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</si>
  <si>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</si>
  <si>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</si>
  <si>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</si>
  <si>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</si>
  <si>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</si>
  <si>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</si>
  <si>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</si>
  <si>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</si>
  <si>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</si>
  <si>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</si>
  <si>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</si>
  <si>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</si>
  <si>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</si>
  <si>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</si>
  <si>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</si>
  <si>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</si>
  <si>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</si>
  <si>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</si>
  <si>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</si>
  <si>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</si>
  <si>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</si>
  <si>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</si>
  <si>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</si>
  <si>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</si>
  <si>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</si>
  <si>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</si>
  <si>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</si>
  <si>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</si>
  <si>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</si>
  <si>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</si>
  <si>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</si>
  <si>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</si>
  <si>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</si>
  <si>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</si>
  <si>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</si>
  <si>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</si>
  <si>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</si>
  <si>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</si>
  <si>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</si>
  <si>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</si>
  <si>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</si>
  <si>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</si>
  <si>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</si>
  <si>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</si>
  <si>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</si>
  <si>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</si>
  <si>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</si>
  <si>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</si>
  <si>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</si>
  <si>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</si>
  <si>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</si>
  <si>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</si>
  <si>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</si>
  <si>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</si>
  <si>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</si>
  <si>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</si>
  <si>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</si>
  <si>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</si>
  <si>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</si>
  <si>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</si>
  <si>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</si>
  <si>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</si>
  <si>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</si>
  <si>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</si>
  <si>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</si>
  <si>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</si>
  <si>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</si>
  <si>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</si>
  <si>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</si>
  <si>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</si>
  <si>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</si>
  <si>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</si>
  <si>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</si>
  <si>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</si>
  <si>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</si>
  <si>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</si>
  <si>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</si>
  <si>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</si>
  <si>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</si>
  <si>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</si>
  <si>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</si>
  <si>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</si>
  <si>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</si>
  <si>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</si>
  <si>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</si>
  <si>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</si>
  <si>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</si>
  <si>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</si>
  <si>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</si>
  <si>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</si>
  <si>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</si>
  <si>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</si>
  <si>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</si>
  <si>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</si>
  <si>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</si>
  <si>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</si>
  <si>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</si>
  <si>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</si>
  <si>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</si>
  <si>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</si>
  <si>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</si>
  <si>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</si>
  <si>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</si>
  <si>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</si>
  <si>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</si>
  <si>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</si>
  <si>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</si>
  <si>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</si>
  <si>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</si>
  <si>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</si>
  <si>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</si>
  <si>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</si>
  <si>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</si>
  <si>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</si>
  <si>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</si>
  <si>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</si>
  <si>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</si>
  <si>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</si>
  <si>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</si>
  <si>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</si>
  <si>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</si>
  <si>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</si>
  <si>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</si>
  <si>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</si>
  <si>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</si>
  <si>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</si>
  <si>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</si>
  <si>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</si>
  <si>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</si>
  <si>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</si>
  <si>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</si>
  <si>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</si>
  <si>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</si>
  <si>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</si>
  <si>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</si>
  <si>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</si>
  <si>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</si>
  <si>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</si>
  <si>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</si>
  <si>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</si>
  <si>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</si>
  <si>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</si>
  <si>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</si>
  <si>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</si>
  <si>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</si>
  <si>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</si>
  <si>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</si>
  <si>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</si>
  <si>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</si>
  <si>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</si>
  <si>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</si>
  <si>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</si>
  <si>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</si>
  <si>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</si>
  <si>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</si>
  <si>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</si>
  <si>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</si>
  <si>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</si>
  <si>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</si>
  <si>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</si>
  <si>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</si>
  <si>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</si>
  <si>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</si>
  <si>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</si>
  <si>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</si>
  <si>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</si>
  <si>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</si>
  <si>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</si>
  <si>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</si>
  <si>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</si>
  <si>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</si>
  <si>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</si>
  <si>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</si>
  <si>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</si>
  <si>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</si>
  <si>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</si>
  <si>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</si>
  <si>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</si>
  <si>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</si>
  <si>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</si>
  <si>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</si>
  <si>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</si>
  <si>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</si>
  <si>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</si>
  <si>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</si>
  <si>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</si>
  <si>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</si>
  <si>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</si>
  <si>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</si>
  <si>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</si>
  <si>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</si>
  <si>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</si>
  <si>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</si>
  <si>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</si>
  <si>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</si>
  <si>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</si>
  <si>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</si>
  <si>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</si>
  <si>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</si>
  <si>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</si>
  <si>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</si>
  <si>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</si>
  <si>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</si>
  <si>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</si>
  <si>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</si>
  <si>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</si>
  <si>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</si>
  <si>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</si>
  <si>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</si>
  <si>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</si>
  <si>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</si>
  <si>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</si>
  <si>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</si>
  <si>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</si>
  <si>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</si>
  <si>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</si>
  <si>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</si>
  <si>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</si>
  <si>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</si>
  <si>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</si>
  <si>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</si>
  <si>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</si>
  <si>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</si>
  <si>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</si>
  <si>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</si>
  <si>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</si>
  <si>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</si>
  <si>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</si>
  <si>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</si>
  <si>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</si>
  <si>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</si>
  <si>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</si>
  <si>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</si>
  <si>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</si>
  <si>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</si>
  <si>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</si>
  <si>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</si>
  <si>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</si>
  <si>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</si>
  <si>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</si>
  <si>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</si>
  <si>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</si>
  <si>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</si>
  <si>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</si>
  <si>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</si>
  <si>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</si>
  <si>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</si>
  <si>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</si>
  <si>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</si>
  <si>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</si>
  <si>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</si>
  <si>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</si>
  <si>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</si>
  <si>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</si>
  <si>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</si>
  <si>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</si>
  <si>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</si>
  <si>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</si>
  <si>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</si>
  <si>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</si>
  <si>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</si>
  <si>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</si>
  <si>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</si>
  <si>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</si>
  <si>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</si>
  <si>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</si>
  <si>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</si>
  <si>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</si>
  <si>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</si>
  <si>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</si>
  <si>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</si>
  <si>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</si>
  <si>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</si>
  <si>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</si>
  <si>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</si>
  <si>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</si>
  <si>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</si>
  <si>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</si>
  <si>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</si>
  <si>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</si>
  <si>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</si>
  <si>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</si>
  <si>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</si>
  <si>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</si>
  <si>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</si>
  <si>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</si>
  <si>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</si>
  <si>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</si>
  <si>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</si>
  <si>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</si>
  <si>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</si>
  <si>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</si>
  <si>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</si>
  <si>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</si>
  <si>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</si>
  <si>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</si>
  <si>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</si>
  <si>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</si>
  <si>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</si>
  <si>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</si>
  <si>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</si>
  <si>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</si>
  <si>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</si>
  <si>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</si>
  <si>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</si>
  <si>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</si>
  <si>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</si>
  <si>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</si>
  <si>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</si>
  <si>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</si>
  <si>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</si>
  <si>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</si>
  <si>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</si>
  <si>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</si>
  <si>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</si>
  <si>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</si>
  <si>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</si>
  <si>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</si>
  <si>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</si>
  <si>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</si>
  <si>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</si>
  <si>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</si>
  <si>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</si>
  <si>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</si>
  <si>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</si>
  <si>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</si>
  <si>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</si>
  <si>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</si>
  <si>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</si>
  <si>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</si>
  <si>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</si>
  <si>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</si>
  <si>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</si>
  <si>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</si>
  <si>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</si>
  <si>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</si>
  <si>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</si>
  <si>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</si>
  <si>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</si>
  <si>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</si>
  <si>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</si>
  <si>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</si>
  <si>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</si>
  <si>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</si>
  <si>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</si>
  <si>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</si>
  <si>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</si>
  <si>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</si>
  <si>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</si>
  <si>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</si>
  <si>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</si>
  <si>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</si>
  <si>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</si>
  <si>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</si>
  <si>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</si>
  <si>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</si>
  <si>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</si>
  <si>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</si>
  <si>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</si>
  <si>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</si>
  <si>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</si>
  <si>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</si>
  <si>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</si>
  <si>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</si>
  <si>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</si>
  <si>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</si>
  <si>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</si>
  <si>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</si>
  <si>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</si>
  <si>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</si>
  <si>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</si>
  <si>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</si>
  <si>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</si>
  <si>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</si>
  <si>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</si>
  <si>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</si>
  <si>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</si>
  <si>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</si>
  <si>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</si>
  <si>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</si>
  <si>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</si>
  <si>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</si>
  <si>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</si>
  <si>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</si>
  <si>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</si>
  <si>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</si>
  <si>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</si>
  <si>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</si>
  <si>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</si>
  <si>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</si>
  <si>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</si>
  <si>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</si>
  <si>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</si>
  <si>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</si>
  <si>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</si>
  <si>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</si>
  <si>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</si>
  <si>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</si>
  <si>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</si>
  <si>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</si>
  <si>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</si>
  <si>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</si>
  <si>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</si>
  <si>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</si>
  <si>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</si>
  <si>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</si>
  <si>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</si>
  <si>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</si>
  <si>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</si>
  <si>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</si>
  <si>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</si>
  <si>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</si>
  <si>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</si>
  <si>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</si>
  <si>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</si>
  <si>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</si>
  <si>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</si>
  <si>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</si>
  <si>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</si>
  <si>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</si>
  <si>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</si>
  <si>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</si>
  <si>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</si>
  <si>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</si>
  <si>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</si>
  <si>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</si>
  <si>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</si>
  <si>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</si>
  <si>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</si>
  <si>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</si>
  <si>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</si>
  <si>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</si>
  <si>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</si>
  <si>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</si>
  <si>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</si>
  <si>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</si>
  <si>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</si>
  <si>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</si>
  <si>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</si>
  <si>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</si>
  <si>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</si>
  <si>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</si>
  <si>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</si>
  <si>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</si>
  <si>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</si>
  <si>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</si>
  <si>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</si>
  <si>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</si>
  <si>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</si>
  <si>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</si>
  <si>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</si>
  <si>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</si>
  <si>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</si>
  <si>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</si>
  <si>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</si>
  <si>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</si>
  <si>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</si>
  <si>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</si>
  <si>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</si>
  <si>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</si>
  <si>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</si>
  <si>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</si>
  <si>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</si>
  <si>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</si>
  <si>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</si>
  <si>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</si>
  <si>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</si>
  <si>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</si>
  <si>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</si>
  <si>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</si>
  <si>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</si>
  <si>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</si>
  <si>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</si>
  <si>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</si>
  <si>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</si>
  <si>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</si>
  <si>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</si>
  <si>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</si>
  <si>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</si>
  <si>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</si>
  <si>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</si>
  <si>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</si>
  <si>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</si>
  <si>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</si>
  <si>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</si>
  <si>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</si>
  <si>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</si>
  <si>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</si>
  <si>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</si>
  <si>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</si>
  <si>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</si>
  <si>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</si>
  <si>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</si>
  <si>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</si>
  <si>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</si>
  <si>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</si>
  <si>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</si>
  <si>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</si>
  <si>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</si>
  <si>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</si>
  <si>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</si>
  <si>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</si>
  <si>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</si>
  <si>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</si>
  <si>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</si>
  <si>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</si>
  <si>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</si>
  <si>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</si>
  <si>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</si>
  <si>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</si>
  <si>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</si>
  <si>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</si>
  <si>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</si>
  <si>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</si>
  <si>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</si>
  <si>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</si>
  <si>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</si>
  <si>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</si>
  <si>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</si>
  <si>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</si>
  <si>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</si>
  <si>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</si>
  <si>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</si>
  <si>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</si>
  <si>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</si>
  <si>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</si>
  <si>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</si>
  <si>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</si>
  <si>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</si>
  <si>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</si>
  <si>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</si>
  <si>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</si>
  <si>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</si>
  <si>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</si>
  <si>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</si>
  <si>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</si>
  <si>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</si>
  <si>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</si>
  <si>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</si>
  <si>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</si>
  <si>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</si>
  <si>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</si>
  <si>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</si>
  <si>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</si>
  <si>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</si>
  <si>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</si>
  <si>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</si>
  <si>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</si>
  <si>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</si>
  <si>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</si>
  <si>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</si>
  <si>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</si>
  <si>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</si>
  <si>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</si>
  <si>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</si>
  <si>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</si>
  <si>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</si>
  <si>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</si>
  <si>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</si>
  <si>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</si>
  <si>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</si>
  <si>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</si>
  <si>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</si>
  <si>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</si>
  <si>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</si>
  <si>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</si>
  <si>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</si>
  <si>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</si>
  <si>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</si>
  <si>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</si>
  <si>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</si>
  <si>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</si>
  <si>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</si>
  <si>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</si>
  <si>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</si>
  <si>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</si>
  <si>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</si>
  <si>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</si>
  <si>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</si>
  <si>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</si>
  <si>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</si>
  <si>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</si>
  <si>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</si>
  <si>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</si>
  <si>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</si>
  <si>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</si>
  <si>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</si>
  <si>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</si>
  <si>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</si>
  <si>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</si>
  <si>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</si>
  <si>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</si>
  <si>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</si>
  <si>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</si>
  <si>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</si>
  <si>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</si>
  <si>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</si>
  <si>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</si>
  <si>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</si>
  <si>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</si>
  <si>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</si>
  <si>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</si>
  <si>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</si>
  <si>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</si>
  <si>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</si>
  <si>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</si>
  <si>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</si>
  <si>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</si>
  <si>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</si>
  <si>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</si>
  <si>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</si>
  <si>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</si>
  <si>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</si>
  <si>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</si>
  <si>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</si>
  <si>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</si>
  <si>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</si>
  <si>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</si>
  <si>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</si>
  <si>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</si>
  <si>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</si>
  <si>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</si>
  <si>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</si>
  <si>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</si>
  <si>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</si>
  <si>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</si>
  <si>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</si>
  <si>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</si>
  <si>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</si>
  <si>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</si>
  <si>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</si>
  <si>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</si>
  <si>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</si>
  <si>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</si>
  <si>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</si>
  <si>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</si>
  <si>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</si>
  <si>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</si>
  <si>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</si>
  <si>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</si>
  <si>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</si>
  <si>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</si>
  <si>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</si>
  <si>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</si>
  <si>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</si>
  <si>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</si>
  <si>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</si>
  <si>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</si>
  <si>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</si>
  <si>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</si>
  <si>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</si>
  <si>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</si>
  <si>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</si>
  <si>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</si>
  <si>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</si>
  <si>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</si>
  <si>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</si>
  <si>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</si>
  <si>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</si>
  <si>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</si>
  <si>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</si>
  <si>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</si>
  <si>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</si>
  <si>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</si>
  <si>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</si>
  <si>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</si>
  <si>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</si>
  <si>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</si>
  <si>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</si>
  <si>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</si>
  <si>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</si>
  <si>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</si>
  <si>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</si>
  <si>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</si>
  <si>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</si>
  <si>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</si>
  <si>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</si>
  <si>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</si>
  <si>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</si>
  <si>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</si>
  <si>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</si>
  <si>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</si>
  <si>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</si>
  <si>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</si>
  <si>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</si>
  <si>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</si>
  <si>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</si>
  <si>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</si>
  <si>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</si>
  <si>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</si>
  <si>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</si>
  <si>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</si>
  <si>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</si>
  <si>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</si>
  <si>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</si>
  <si>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</si>
  <si>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</si>
  <si>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</si>
  <si>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</si>
  <si>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</si>
  <si>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</si>
  <si>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</si>
  <si>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</si>
  <si>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</si>
  <si>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</si>
  <si>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</si>
  <si>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</si>
  <si>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</si>
  <si>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</si>
  <si>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</si>
  <si>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</si>
  <si>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</si>
  <si>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</si>
  <si>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</si>
  <si>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</si>
  <si>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</si>
  <si>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</si>
  <si>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</si>
  <si>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</si>
  <si>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</si>
  <si>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</si>
  <si>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</si>
  <si>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</si>
  <si>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</si>
  <si>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</si>
  <si>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</si>
  <si>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</si>
  <si>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</si>
  <si>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</si>
  <si>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</si>
  <si>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</si>
  <si>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</si>
  <si>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</si>
  <si>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</si>
  <si>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</si>
  <si>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</si>
  <si>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</si>
  <si>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</si>
  <si>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</si>
  <si>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</si>
  <si>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</si>
  <si>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</si>
  <si>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</si>
  <si>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</si>
  <si>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</si>
  <si>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</si>
  <si>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</si>
  <si>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</si>
  <si>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</si>
  <si>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</si>
  <si>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</si>
  <si>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</si>
  <si>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</si>
  <si>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</si>
  <si>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</si>
  <si>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</si>
  <si>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</si>
  <si>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</si>
  <si>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</si>
  <si>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</si>
  <si>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</si>
  <si>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</si>
  <si>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</si>
  <si>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</si>
  <si>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</si>
  <si>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</si>
  <si>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</si>
  <si>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</si>
  <si>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</si>
  <si>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</si>
  <si>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</si>
  <si>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</si>
  <si>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</si>
  <si>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</si>
  <si>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</si>
  <si>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</si>
  <si>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</si>
  <si>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</si>
  <si>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</si>
  <si>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</si>
  <si>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</si>
  <si>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</si>
  <si>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</si>
  <si>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</si>
  <si>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</si>
  <si>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</si>
  <si>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</si>
  <si>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</si>
  <si>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</si>
  <si>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</si>
  <si>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</si>
  <si>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</si>
  <si>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</si>
  <si>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</si>
  <si>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</si>
  <si>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</si>
  <si>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</si>
  <si>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</si>
  <si>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</si>
  <si>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</si>
  <si>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</si>
  <si>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</si>
  <si>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</si>
  <si>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</si>
  <si>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</si>
  <si>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</si>
  <si>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</si>
  <si>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</si>
  <si>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</si>
  <si>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</si>
  <si>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</si>
  <si>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</si>
  <si>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</si>
  <si>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</si>
  <si>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</si>
  <si>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</si>
  <si>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</si>
  <si>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</si>
  <si>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</si>
  <si>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</si>
  <si>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</si>
  <si>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</si>
  <si>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</si>
  <si>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</si>
  <si>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</si>
  <si>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</si>
  <si>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</si>
  <si>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</si>
  <si>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</si>
  <si>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</si>
  <si>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</si>
  <si>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</si>
  <si>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</si>
  <si>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</si>
  <si>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</si>
  <si>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</si>
  <si>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</si>
  <si>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</si>
  <si>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</si>
  <si>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</si>
  <si>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</si>
  <si>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</si>
  <si>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</si>
  <si>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</si>
  <si>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</si>
  <si>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</si>
  <si>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</si>
  <si>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</si>
  <si>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</si>
  <si>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</si>
  <si>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</si>
  <si>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</si>
  <si>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</si>
  <si>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</si>
  <si>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</si>
  <si>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2021</t>
  </si>
  <si>
    <t>Oct</t>
  </si>
  <si>
    <t>Years (Order Date)</t>
  </si>
  <si>
    <t>Months (Order Date)</t>
  </si>
  <si>
    <t>Arabica</t>
  </si>
  <si>
    <t>Excelsa</t>
  </si>
  <si>
    <t>Liberica</t>
  </si>
  <si>
    <t>Robusta</t>
  </si>
  <si>
    <t>Sum of Sales</t>
  </si>
  <si>
    <t>Loyality Card</t>
  </si>
  <si>
    <t>Nov</t>
  </si>
  <si>
    <t>2019</t>
  </si>
  <si>
    <t>Jan</t>
  </si>
  <si>
    <t>Feb</t>
  </si>
  <si>
    <t>Mar</t>
  </si>
  <si>
    <t>Apr</t>
  </si>
  <si>
    <t>May</t>
  </si>
  <si>
    <t>Jun</t>
  </si>
  <si>
    <t>Jul</t>
  </si>
  <si>
    <t>Aug</t>
  </si>
  <si>
    <t>Sep</t>
  </si>
  <si>
    <t>Dec</t>
  </si>
  <si>
    <t>2020</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</si>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</sst>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1BCFF545-FF43-4E79-8027-2A96167528EF}">
      <tableStyleElement type="wholeTable" dxfId="15"/>
      <tableStyleElement type="headerRow" dxfId="14"/>
    </tableStyle>
    <tableStyle name="Purple Timeline Style " pivot="0" table="0" count="8" xr9:uid="{B7E01078-C698-426C-910F-4124B041FBCF}">
      <tableStyleElement type="wholeTable" dxfId="13"/>
      <tableStyleElement type="headerRow" dxfId="12"/>
    </tableStyle>
  </tableStyles>
  <colors>
    <mruColors>
      <color rgb="FF3C1464"/>
      <color rgb="FF00D25F"/>
      <color rgb="FF007E39"/>
      <color rgb="FF81FFBA"/>
      <color rgb="FF002E15"/>
      <color rgb="FFA970E2"/>
      <color rgb="FFD4B6F0"/>
      <color rgb="FF97450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A970E2"/>
            </patternFill>
          </fill>
        </dxf>
        <dxf>
          <font>
            <b/>
            <i val="0"/>
            <sz val="9"/>
            <color theme="0"/>
            <name val="Calibri"/>
            <family val="2"/>
            <scheme val="minor"/>
          </font>
        </dxf>
        <dxf>
          <font>
            <b/>
            <i val="0"/>
            <sz val="10"/>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table!Total 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table'!$C$3:$C$4</c:f>
              <c:strCache>
                <c:ptCount val="1"/>
                <c:pt idx="0">
                  <c:v>Arabica</c:v>
                </c:pt>
              </c:strCache>
            </c:strRef>
          </c:tx>
          <c:spPr>
            <a:ln w="28575" cap="rnd">
              <a:solidFill>
                <a:schemeClr val="accent1"/>
              </a:solidFill>
              <a:round/>
            </a:ln>
            <a:effectLst/>
          </c:spPr>
          <c:marker>
            <c:symbol val="none"/>
          </c:marker>
          <c:cat>
            <c:multiLvlStrRef>
              <c:f>'Pivot table'!$A$5:$B$49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605-44C8-9F9E-6506E0D5AF3B}"/>
            </c:ext>
          </c:extLst>
        </c:ser>
        <c:ser>
          <c:idx val="1"/>
          <c:order val="1"/>
          <c:tx>
            <c:strRef>
              <c:f>'Pivot table'!$D$3:$D$4</c:f>
              <c:strCache>
                <c:ptCount val="1"/>
                <c:pt idx="0">
                  <c:v>Excelsa</c:v>
                </c:pt>
              </c:strCache>
            </c:strRef>
          </c:tx>
          <c:spPr>
            <a:ln w="28575" cap="rnd">
              <a:solidFill>
                <a:srgbClr val="FF0000"/>
              </a:solidFill>
              <a:round/>
            </a:ln>
            <a:effectLst/>
          </c:spPr>
          <c:marker>
            <c:symbol val="none"/>
          </c:marker>
          <c:cat>
            <c:multiLvlStrRef>
              <c:f>'Pivot table'!$A$5:$B$49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987A-47B7-A68F-17501C51CCC2}"/>
            </c:ext>
          </c:extLst>
        </c:ser>
        <c:ser>
          <c:idx val="2"/>
          <c:order val="2"/>
          <c:tx>
            <c:strRef>
              <c:f>'Pivot table'!$E$3:$E$4</c:f>
              <c:strCache>
                <c:ptCount val="1"/>
                <c:pt idx="0">
                  <c:v>Liberica</c:v>
                </c:pt>
              </c:strCache>
            </c:strRef>
          </c:tx>
          <c:spPr>
            <a:ln w="28575" cap="rnd">
              <a:solidFill>
                <a:srgbClr val="FFC000"/>
              </a:solidFill>
              <a:round/>
            </a:ln>
            <a:effectLst/>
          </c:spPr>
          <c:marker>
            <c:symbol val="none"/>
          </c:marker>
          <c:cat>
            <c:multiLvlStrRef>
              <c:f>'Pivot table'!$A$5:$B$49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987A-47B7-A68F-17501C51CCC2}"/>
            </c:ext>
          </c:extLst>
        </c:ser>
        <c:ser>
          <c:idx val="3"/>
          <c:order val="3"/>
          <c:tx>
            <c:strRef>
              <c:f>'Pivot table'!$F$3:$F$4</c:f>
              <c:strCache>
                <c:ptCount val="1"/>
                <c:pt idx="0">
                  <c:v>Robusta</c:v>
                </c:pt>
              </c:strCache>
            </c:strRef>
          </c:tx>
          <c:spPr>
            <a:ln w="28575" cap="rnd">
              <a:solidFill>
                <a:srgbClr val="97450D"/>
              </a:solidFill>
              <a:round/>
            </a:ln>
            <a:effectLst/>
          </c:spPr>
          <c:marker>
            <c:symbol val="none"/>
          </c:marker>
          <c:cat>
            <c:multiLvlStrRef>
              <c:f>'Pivot table'!$A$5:$B$49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987A-47B7-A68F-17501C51CCC2}"/>
            </c:ext>
          </c:extLst>
        </c:ser>
        <c:dLbls>
          <c:showLegendKey val="0"/>
          <c:showVal val="0"/>
          <c:showCatName val="0"/>
          <c:showSerName val="0"/>
          <c:showPercent val="0"/>
          <c:showBubbleSize val="0"/>
        </c:dLbls>
        <c:smooth val="0"/>
        <c:axId val="1414941760"/>
        <c:axId val="1414936960"/>
      </c:lineChart>
      <c:catAx>
        <c:axId val="141494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4936960"/>
        <c:crosses val="autoZero"/>
        <c:auto val="1"/>
        <c:lblAlgn val="ctr"/>
        <c:lblOffset val="100"/>
        <c:noMultiLvlLbl val="0"/>
      </c:catAx>
      <c:valAx>
        <c:axId val="141493696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414941760"/>
        <c:crosses val="autoZero"/>
        <c:crossBetween val="between"/>
      </c:valAx>
      <c:spPr>
        <a:solidFill>
          <a:srgbClr val="D4B6F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table!top_5_customer</c:name>
    <c:fmtId val="3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E39"/>
          </a:solidFill>
          <a:ln>
            <a:solidFill>
              <a:schemeClr val="bg1"/>
            </a:solidFill>
          </a:ln>
          <a:effectLst/>
        </c:spPr>
      </c:pivotFmt>
      <c:pivotFmt>
        <c:idx val="2"/>
        <c:spPr>
          <a:solidFill>
            <a:srgbClr val="00D25F"/>
          </a:solidFill>
          <a:ln>
            <a:solidFill>
              <a:schemeClr val="bg1"/>
            </a:solidFill>
          </a:ln>
          <a:effectLst/>
        </c:spPr>
      </c:pivotFmt>
      <c:pivotFmt>
        <c:idx val="3"/>
        <c:spPr>
          <a:solidFill>
            <a:srgbClr val="81FFBA"/>
          </a:solidFill>
          <a:ln>
            <a:solidFill>
              <a:schemeClr val="bg1"/>
            </a:solidFill>
          </a:ln>
          <a:effectLst/>
        </c:spPr>
      </c:pivotFmt>
      <c:pivotFmt>
        <c:idx val="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1FFBA"/>
          </a:solidFill>
          <a:ln>
            <a:solidFill>
              <a:schemeClr val="bg1"/>
            </a:solidFill>
          </a:ln>
          <a:effectLst/>
        </c:spPr>
      </c:pivotFmt>
      <c:pivotFmt>
        <c:idx val="6"/>
        <c:spPr>
          <a:solidFill>
            <a:srgbClr val="00D25F"/>
          </a:solidFill>
          <a:ln>
            <a:solidFill>
              <a:schemeClr val="bg1"/>
            </a:solidFill>
          </a:ln>
          <a:effectLst/>
        </c:spPr>
      </c:pivotFmt>
      <c:pivotFmt>
        <c:idx val="7"/>
        <c:spPr>
          <a:solidFill>
            <a:srgbClr val="007E39"/>
          </a:solidFill>
          <a:ln>
            <a:solidFill>
              <a:schemeClr val="bg1"/>
            </a:solidFill>
          </a:ln>
          <a:effectLst/>
        </c:spPr>
      </c:pivotFmt>
      <c:pivotFmt>
        <c:idx val="8"/>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1FFBA"/>
          </a:solidFill>
          <a:ln>
            <a:solidFill>
              <a:schemeClr val="bg1"/>
            </a:solidFill>
          </a:ln>
          <a:effectLst/>
        </c:spPr>
      </c:pivotFmt>
      <c:pivotFmt>
        <c:idx val="10"/>
        <c:spPr>
          <a:solidFill>
            <a:srgbClr val="00D25F"/>
          </a:solidFill>
          <a:ln>
            <a:solidFill>
              <a:schemeClr val="bg1"/>
            </a:solidFill>
          </a:ln>
          <a:effectLst/>
        </c:spPr>
      </c:pivotFmt>
      <c:pivotFmt>
        <c:idx val="11"/>
        <c:spPr>
          <a:solidFill>
            <a:srgbClr val="007E39"/>
          </a:solidFill>
          <a:ln>
            <a:solidFill>
              <a:schemeClr val="bg1"/>
            </a:solidFill>
          </a:ln>
          <a:effectLst/>
        </c:spPr>
      </c:pivotFmt>
      <c:pivotFmt>
        <c:idx val="12"/>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table'!$J$5</c:f>
              <c:strCache>
                <c:ptCount val="1"/>
                <c:pt idx="0">
                  <c:v>Total</c:v>
                </c:pt>
              </c:strCache>
            </c:strRef>
          </c:tx>
          <c:spPr>
            <a:solidFill>
              <a:srgbClr val="00B050"/>
            </a:solidFill>
            <a:ln>
              <a:solidFill>
                <a:schemeClr val="bg1"/>
              </a:solidFill>
            </a:ln>
            <a:effectLst/>
          </c:spPr>
          <c:invertIfNegative val="0"/>
          <c:dPt>
            <c:idx val="0"/>
            <c:invertIfNegative val="0"/>
            <c:bubble3D val="0"/>
            <c:extLst>
              <c:ext xmlns:c16="http://schemas.microsoft.com/office/drawing/2014/chart" uri="{C3380CC4-5D6E-409C-BE32-E72D297353CC}">
                <c16:uniqueId val="{00000000-D86B-4F62-B96A-BD83B0FDE843}"/>
              </c:ext>
            </c:extLst>
          </c:dPt>
          <c:dPt>
            <c:idx val="1"/>
            <c:invertIfNegative val="0"/>
            <c:bubble3D val="0"/>
            <c:extLst>
              <c:ext xmlns:c16="http://schemas.microsoft.com/office/drawing/2014/chart" uri="{C3380CC4-5D6E-409C-BE32-E72D297353CC}">
                <c16:uniqueId val="{00000001-D86B-4F62-B96A-BD83B0FDE843}"/>
              </c:ext>
            </c:extLst>
          </c:dPt>
          <c:dPt>
            <c:idx val="2"/>
            <c:invertIfNegative val="0"/>
            <c:bubble3D val="0"/>
            <c:extLst>
              <c:ext xmlns:c16="http://schemas.microsoft.com/office/drawing/2014/chart" uri="{C3380CC4-5D6E-409C-BE32-E72D297353CC}">
                <c16:uniqueId val="{00000002-D86B-4F62-B96A-BD83B0FDE843}"/>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table'!$I$6:$I$11</c:f>
              <c:strCache>
                <c:ptCount val="5"/>
                <c:pt idx="0">
                  <c:v>Don Flintiff</c:v>
                </c:pt>
                <c:pt idx="1">
                  <c:v>Nealson Cuttler</c:v>
                </c:pt>
                <c:pt idx="2">
                  <c:v>Terri Farra</c:v>
                </c:pt>
                <c:pt idx="3">
                  <c:v>Brenn Dundredge</c:v>
                </c:pt>
                <c:pt idx="4">
                  <c:v>Allis Wilmore</c:v>
                </c:pt>
              </c:strCache>
            </c:strRef>
          </c:cat>
          <c:val>
            <c:numRef>
              <c:f>'Pivot table'!$J$6:$J$11</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D86B-4F62-B96A-BD83B0FDE843}"/>
            </c:ext>
          </c:extLst>
        </c:ser>
        <c:dLbls>
          <c:dLblPos val="outEnd"/>
          <c:showLegendKey val="0"/>
          <c:showVal val="1"/>
          <c:showCatName val="0"/>
          <c:showSerName val="0"/>
          <c:showPercent val="0"/>
          <c:showBubbleSize val="0"/>
        </c:dLbls>
        <c:gapWidth val="182"/>
        <c:axId val="720929856"/>
        <c:axId val="720933696"/>
      </c:barChart>
      <c:catAx>
        <c:axId val="72092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20933696"/>
        <c:crosses val="autoZero"/>
        <c:auto val="1"/>
        <c:lblAlgn val="ctr"/>
        <c:lblOffset val="100"/>
        <c:noMultiLvlLbl val="0"/>
      </c:catAx>
      <c:valAx>
        <c:axId val="72093369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2092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table!country by chart</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D25F"/>
          </a:solidFill>
          <a:ln>
            <a:noFill/>
          </a:ln>
          <a:effectLst/>
        </c:spPr>
      </c:pivotFmt>
      <c:pivotFmt>
        <c:idx val="2"/>
        <c:spPr>
          <a:solidFill>
            <a:srgbClr val="00D25F"/>
          </a:solidFill>
          <a:ln>
            <a:noFill/>
          </a:ln>
          <a:effectLst/>
        </c:spPr>
      </c:pivotFmt>
      <c:pivotFmt>
        <c:idx val="3"/>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D25F"/>
          </a:solidFill>
          <a:ln>
            <a:noFill/>
          </a:ln>
          <a:effectLst/>
        </c:spPr>
      </c:pivotFmt>
      <c:pivotFmt>
        <c:idx val="5"/>
        <c:spPr>
          <a:solidFill>
            <a:srgbClr val="00D25F"/>
          </a:solidFill>
          <a:ln>
            <a:noFill/>
          </a:ln>
          <a:effectLst/>
        </c:spPr>
      </c:pivotFmt>
      <c:pivotFmt>
        <c:idx val="6"/>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D25F"/>
          </a:solidFill>
          <a:ln>
            <a:noFill/>
          </a:ln>
          <a:effectLst/>
        </c:spPr>
      </c:pivotFmt>
      <c:pivotFmt>
        <c:idx val="8"/>
        <c:spPr>
          <a:solidFill>
            <a:srgbClr val="00D25F"/>
          </a:solidFill>
          <a:ln>
            <a:noFill/>
          </a:ln>
          <a:effectLst/>
        </c:spPr>
      </c:pivotFmt>
    </c:pivotFmts>
    <c:plotArea>
      <c:layout/>
      <c:barChart>
        <c:barDir val="bar"/>
        <c:grouping val="clustered"/>
        <c:varyColors val="0"/>
        <c:ser>
          <c:idx val="0"/>
          <c:order val="0"/>
          <c:tx>
            <c:strRef>
              <c:f>'Pivot table'!$J$21</c:f>
              <c:strCache>
                <c:ptCount val="1"/>
                <c:pt idx="0">
                  <c:v>Total</c:v>
                </c:pt>
              </c:strCache>
            </c:strRef>
          </c:tx>
          <c:spPr>
            <a:solidFill>
              <a:srgbClr val="007E39"/>
            </a:solidFill>
            <a:ln>
              <a:noFill/>
            </a:ln>
            <a:effectLst/>
          </c:spPr>
          <c:invertIfNegative val="0"/>
          <c:dPt>
            <c:idx val="0"/>
            <c:invertIfNegative val="0"/>
            <c:bubble3D val="0"/>
            <c:spPr>
              <a:solidFill>
                <a:srgbClr val="00D25F"/>
              </a:solidFill>
              <a:ln>
                <a:noFill/>
              </a:ln>
              <a:effectLst/>
            </c:spPr>
            <c:extLst>
              <c:ext xmlns:c16="http://schemas.microsoft.com/office/drawing/2014/chart" uri="{C3380CC4-5D6E-409C-BE32-E72D297353CC}">
                <c16:uniqueId val="{00000001-9D78-4E45-BF6A-8C42F5C7A4B9}"/>
              </c:ext>
            </c:extLst>
          </c:dPt>
          <c:dPt>
            <c:idx val="1"/>
            <c:invertIfNegative val="0"/>
            <c:bubble3D val="0"/>
            <c:spPr>
              <a:solidFill>
                <a:srgbClr val="00D25F"/>
              </a:solidFill>
              <a:ln>
                <a:noFill/>
              </a:ln>
              <a:effectLst/>
            </c:spPr>
            <c:extLst>
              <c:ext xmlns:c16="http://schemas.microsoft.com/office/drawing/2014/chart" uri="{C3380CC4-5D6E-409C-BE32-E72D297353CC}">
                <c16:uniqueId val="{00000003-9D78-4E45-BF6A-8C42F5C7A4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table'!$I$22:$I$25</c:f>
              <c:strCache>
                <c:ptCount val="3"/>
                <c:pt idx="0">
                  <c:v>United Kingdom</c:v>
                </c:pt>
                <c:pt idx="1">
                  <c:v>Ireland</c:v>
                </c:pt>
                <c:pt idx="2">
                  <c:v>United States</c:v>
                </c:pt>
              </c:strCache>
            </c:strRef>
          </c:cat>
          <c:val>
            <c:numRef>
              <c:f>'Pivot table'!$J$22:$J$25</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9D78-4E45-BF6A-8C42F5C7A4B9}"/>
            </c:ext>
          </c:extLst>
        </c:ser>
        <c:dLbls>
          <c:dLblPos val="outEnd"/>
          <c:showLegendKey val="0"/>
          <c:showVal val="1"/>
          <c:showCatName val="0"/>
          <c:showSerName val="0"/>
          <c:showPercent val="0"/>
          <c:showBubbleSize val="0"/>
        </c:dLbls>
        <c:gapWidth val="182"/>
        <c:axId val="1083440656"/>
        <c:axId val="720928416"/>
      </c:barChart>
      <c:catAx>
        <c:axId val="108344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28416"/>
        <c:crosses val="autoZero"/>
        <c:auto val="1"/>
        <c:lblAlgn val="ctr"/>
        <c:lblOffset val="100"/>
        <c:noMultiLvlLbl val="0"/>
      </c:catAx>
      <c:valAx>
        <c:axId val="72092841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4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4B6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114299</xdr:colOff>
      <xdr:row>6</xdr:row>
      <xdr:rowOff>95250</xdr:rowOff>
    </xdr:from>
    <xdr:to>
      <xdr:col>16</xdr:col>
      <xdr:colOff>238125</xdr:colOff>
      <xdr:row>16</xdr:row>
      <xdr:rowOff>19049</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459BCE2E-1057-4FC0-AB4A-1CD124ABAC9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299" y="1087288"/>
              <a:ext cx="9296581" cy="17928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6901</xdr:colOff>
      <xdr:row>16</xdr:row>
      <xdr:rowOff>66674</xdr:rowOff>
    </xdr:from>
    <xdr:to>
      <xdr:col>14</xdr:col>
      <xdr:colOff>542925</xdr:colOff>
      <xdr:row>40</xdr:row>
      <xdr:rowOff>0</xdr:rowOff>
    </xdr:to>
    <xdr:graphicFrame macro="">
      <xdr:nvGraphicFramePr>
        <xdr:cNvPr id="3" name="Chart 2">
          <a:extLst>
            <a:ext uri="{FF2B5EF4-FFF2-40B4-BE49-F238E27FC236}">
              <a16:creationId xmlns:a16="http://schemas.microsoft.com/office/drawing/2014/main" id="{52B10EFC-CA99-4A8B-A596-D6A38CA1F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371475</xdr:colOff>
      <xdr:row>6</xdr:row>
      <xdr:rowOff>95250</xdr:rowOff>
    </xdr:from>
    <xdr:to>
      <xdr:col>25</xdr:col>
      <xdr:colOff>0</xdr:colOff>
      <xdr:row>10</xdr:row>
      <xdr:rowOff>114300</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2FE8B650-0ADE-4A1F-8268-5664FCB5738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544230" y="1087288"/>
              <a:ext cx="5063166" cy="766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388619</xdr:colOff>
      <xdr:row>11</xdr:row>
      <xdr:rowOff>15241</xdr:rowOff>
    </xdr:from>
    <xdr:to>
      <xdr:col>21</xdr:col>
      <xdr:colOff>9524</xdr:colOff>
      <xdr:row>16</xdr:row>
      <xdr:rowOff>9525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EF0CC615-AE78-4DD1-998F-4E4DEA64DAA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561374" y="1941807"/>
              <a:ext cx="2640150" cy="928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104775</xdr:colOff>
      <xdr:row>11</xdr:row>
      <xdr:rowOff>24765</xdr:rowOff>
    </xdr:from>
    <xdr:to>
      <xdr:col>25</xdr:col>
      <xdr:colOff>0</xdr:colOff>
      <xdr:row>16</xdr:row>
      <xdr:rowOff>9525</xdr:rowOff>
    </xdr:to>
    <mc:AlternateContent xmlns:mc="http://schemas.openxmlformats.org/markup-compatibility/2006" xmlns:a14="http://schemas.microsoft.com/office/drawing/2010/main">
      <mc:Choice Requires="a14">
        <xdr:graphicFrame macro="">
          <xdr:nvGraphicFramePr>
            <xdr:cNvPr id="6" name="Loyality Card">
              <a:extLst>
                <a:ext uri="{FF2B5EF4-FFF2-40B4-BE49-F238E27FC236}">
                  <a16:creationId xmlns:a16="http://schemas.microsoft.com/office/drawing/2014/main" id="{81F0E6B5-E88B-4D73-8AC6-6A35AC7FC5AC}"/>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2296775" y="1951331"/>
              <a:ext cx="2310621" cy="919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14378</xdr:colOff>
      <xdr:row>29</xdr:row>
      <xdr:rowOff>28755</xdr:rowOff>
    </xdr:from>
    <xdr:to>
      <xdr:col>25</xdr:col>
      <xdr:colOff>23902</xdr:colOff>
      <xdr:row>39</xdr:row>
      <xdr:rowOff>177199</xdr:rowOff>
    </xdr:to>
    <xdr:graphicFrame macro="">
      <xdr:nvGraphicFramePr>
        <xdr:cNvPr id="8" name="Chart 7">
          <a:extLst>
            <a:ext uri="{FF2B5EF4-FFF2-40B4-BE49-F238E27FC236}">
              <a16:creationId xmlns:a16="http://schemas.microsoft.com/office/drawing/2014/main" id="{74952A7A-9733-4C93-8220-6A8B4920B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xdr:colOff>
      <xdr:row>16</xdr:row>
      <xdr:rowOff>71886</xdr:rowOff>
    </xdr:from>
    <xdr:to>
      <xdr:col>24</xdr:col>
      <xdr:colOff>602412</xdr:colOff>
      <xdr:row>28</xdr:row>
      <xdr:rowOff>143773</xdr:rowOff>
    </xdr:to>
    <xdr:graphicFrame macro="">
      <xdr:nvGraphicFramePr>
        <xdr:cNvPr id="9" name="Chart 8">
          <a:extLst>
            <a:ext uri="{FF2B5EF4-FFF2-40B4-BE49-F238E27FC236}">
              <a16:creationId xmlns:a16="http://schemas.microsoft.com/office/drawing/2014/main" id="{5CE408E7-41E6-471D-854D-36371909A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0</xdr:rowOff>
    </xdr:from>
    <xdr:to>
      <xdr:col>25</xdr:col>
      <xdr:colOff>0</xdr:colOff>
      <xdr:row>6</xdr:row>
      <xdr:rowOff>0</xdr:rowOff>
    </xdr:to>
    <xdr:sp macro="" textlink="">
      <xdr:nvSpPr>
        <xdr:cNvPr id="10" name="Rectangle 9">
          <a:extLst>
            <a:ext uri="{FF2B5EF4-FFF2-40B4-BE49-F238E27FC236}">
              <a16:creationId xmlns:a16="http://schemas.microsoft.com/office/drawing/2014/main" id="{B93F90CE-3580-C776-34AD-F34404D8CFA2}"/>
            </a:ext>
          </a:extLst>
        </xdr:cNvPr>
        <xdr:cNvSpPr/>
      </xdr:nvSpPr>
      <xdr:spPr>
        <a:xfrm>
          <a:off x="121920" y="60960"/>
          <a:ext cx="14630400" cy="9144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solidFill>
                <a:schemeClr val="bg1"/>
              </a:solidFill>
            </a:rPr>
            <a:t>COFFEE</a:t>
          </a:r>
          <a:r>
            <a:rPr lang="en-IN" sz="4800" baseline="0">
              <a:solidFill>
                <a:schemeClr val="bg1"/>
              </a:solidFill>
            </a:rPr>
            <a:t> SALES DASHBOARD</a:t>
          </a:r>
          <a:endParaRPr lang="en-IN" sz="48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YADAV" refreshedDate="46317.770892129629" createdVersion="8" refreshedVersion="8" minRefreshableVersion="3" recordCount="1000" xr:uid="{03A35290-AA66-4E3D-AF17-848543383EBC}">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87327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79B143-616F-4356-B022-17190BBF9BC6}"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A3:G4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1" numFmtId="1"/>
  </dataFields>
  <chartFormats count="2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2"/>
          </reference>
        </references>
      </pivotArea>
    </chartFormat>
    <chartFormat chart="3" format="7"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5" format="1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EA73B2-2EF9-479C-93C0-14E35611D405}" name="country by chart"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1">
  <location ref="I21:J25"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chartFormats count="12">
    <chartFormat chart="5" format="1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6" format="16"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filters count="1">
    <filter fld="5" type="count" evalOrder="-1" id="8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F11D75-66F4-4924-8C02-97067708BFAB}" name="top_5_customer"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7">
  <location ref="I5:J11"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chartFormats count="5">
    <chartFormat chart="5" format="1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30" format="1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8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78E7C49-7A96-4488-81D2-C2DC6F503788}" sourceName="Roast type Name">
  <pivotTables>
    <pivotTable tabId="18" name="Total Sales"/>
    <pivotTable tabId="18" name="top_5_customer"/>
    <pivotTable tabId="18" name="country by chart"/>
  </pivotTables>
  <data>
    <tabular pivotCacheId="108732754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915FFCD-70D9-4BFE-9804-31F540094B2F}" sourceName="Size">
  <pivotTables>
    <pivotTable tabId="18" name="Total Sales"/>
    <pivotTable tabId="18" name="top_5_customer"/>
    <pivotTable tabId="18" name="country by chart"/>
  </pivotTables>
  <data>
    <tabular pivotCacheId="108732754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3C9890FB-F265-4D97-ACCB-78513E2E91D1}" sourceName="Loyality Card">
  <pivotTables>
    <pivotTable tabId="18" name="Total Sales"/>
    <pivotTable tabId="18" name="top_5_customer"/>
    <pivotTable tabId="18" name="country by chart"/>
  </pivotTables>
  <data>
    <tabular pivotCacheId="10873275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40EC4837-C52C-4D0B-AA3B-5307EF0E055B}" cache="Slicer_Roast_type_Name" caption="Roast type Name" columnCount="3" rowHeight="234950"/>
  <slicer name="Size" xr10:uid="{E1C2DBDE-18A2-4F6B-B37D-04F6BCBBD0F6}" cache="Slicer_Size" caption="Size" columnCount="2" rowHeight="234950"/>
  <slicer name="Loyality Card" xr10:uid="{313D7516-E3C0-4080-9743-DB2EA0688AB6}" cache="Slicer_Loyality_Card" caption="Loyali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B62574-6B47-4B5D-912A-92C084244117}" name="Table1" displayName="Table1" ref="A1:P1001" totalsRowShown="0" headerRowDxfId="11">
  <autoFilter ref="A1:P1001" xr:uid="{73B62574-6B47-4B5D-912A-92C084244117}"/>
  <tableColumns count="16">
    <tableColumn id="1" xr3:uid="{A5922DE8-8CB2-4B05-8C14-DBCE00F33714}" name="Order ID" dataDxfId="10"/>
    <tableColumn id="2" xr3:uid="{44AED580-F6EC-4E10-B4CA-82EFE5EDDCC2}" name="Order Date" dataDxfId="9"/>
    <tableColumn id="3" xr3:uid="{81A46F6A-F4B7-45D5-B6F7-ACB9FA54A801}" name="Customer ID" dataDxfId="8"/>
    <tableColumn id="4" xr3:uid="{AECA6294-8D31-4180-8FAE-EAC50E2E5E76}" name="Product ID"/>
    <tableColumn id="5" xr3:uid="{8BD9B009-374A-4F6E-A64C-15BF91A8B949}" name="Quantity" dataDxfId="7"/>
    <tableColumn id="6" xr3:uid="{D26E9E15-FA37-45E8-BFE0-D59643B5B1FD}" name="Customer Name" dataDxfId="6">
      <calculatedColumnFormula>_xlfn.XLOOKUP(C2,customers!$A$1:$A$1001,customers!$B$1:$B$1001,,0)</calculatedColumnFormula>
    </tableColumn>
    <tableColumn id="7" xr3:uid="{2138B06F-4E35-4B50-B266-11CD7D6F6A94}" name="Email" dataDxfId="5">
      <calculatedColumnFormula>IF(_xlfn.XLOOKUP(C2,customers!$A$1:$A$1001,customers!$C$1:$C$1001,0)=0,"",_xlfn.XLOOKUP(C2,customers!$A$1:$A$1001,customers!$C$1:$C$1001,0))</calculatedColumnFormula>
    </tableColumn>
    <tableColumn id="8" xr3:uid="{F7A9A895-FFE9-4EFE-8EEF-D86A946203A3}" name="Country" dataDxfId="4">
      <calculatedColumnFormula>_xlfn.XLOOKUP(C2,customers!$A$1:$A$1001,customers!$G$1:$G$1001,,0)</calculatedColumnFormula>
    </tableColumn>
    <tableColumn id="9" xr3:uid="{7FED4C34-27BB-48E5-BD79-BCC3089EB12C}" name="Coffee Type">
      <calculatedColumnFormula>INDEX(Product!$A$1:$G$49,MATCH(orders!$D2,Product!$A$1:$A$49,0),MATCH(orders!I$1,Product!$A$1:$G$1,0))</calculatedColumnFormula>
    </tableColumn>
    <tableColumn id="10" xr3:uid="{D50470A2-5F8A-4CA7-A0D0-C6DA5FCB05D4}" name="Roast Type">
      <calculatedColumnFormula>INDEX(Product!$A$1:$G$49,MATCH(orders!$D2,Product!$A$1:$A$49,0),MATCH(orders!J$1,Product!$A$1:$G$1,0))</calculatedColumnFormula>
    </tableColumn>
    <tableColumn id="11" xr3:uid="{F282B7B9-7D30-441E-A9BA-A479CEA8D559}" name="Size" dataDxfId="3">
      <calculatedColumnFormula>INDEX(Product!$A$1:$G$49,MATCH(orders!$D2,Product!$A$1:$A$49,0),MATCH(orders!K$1,Product!$A$1:$G$1,0))</calculatedColumnFormula>
    </tableColumn>
    <tableColumn id="12" xr3:uid="{D19F20D2-CB44-47F0-AB42-01C2D0DAC422}" name="Unit Price" dataDxfId="2">
      <calculatedColumnFormula>INDEX(Product!$A$1:$G$49,MATCH(orders!$D2,Product!$A$1:$A$49,0),MATCH(orders!L$1,Product!$A$1:$G$1,0))</calculatedColumnFormula>
    </tableColumn>
    <tableColumn id="13" xr3:uid="{8E30F49E-BD4C-4D16-9E44-14781BADC46A}" name="Sales" dataDxfId="1">
      <calculatedColumnFormula>L2*E2</calculatedColumnFormula>
    </tableColumn>
    <tableColumn id="14" xr3:uid="{EF429D2F-9106-47F8-8125-4D209B487A33}" name="Coffee Type Name">
      <calculatedColumnFormula array="1">_xlfn.IFS(I2="Rob", "Robusta", I2="Exc", "Excelsa", I2="Ara", "Arabica", I2="Lib", "Liberica", TRUE, "")</calculatedColumnFormula>
    </tableColumn>
    <tableColumn id="15" xr3:uid="{11E3B01D-9324-49F8-909B-1EA6B0C2FD1E}" name="Roast type Name">
      <calculatedColumnFormula array="1">_xlfn.IFS(J2="M", "Medium", J2="L", "Light", J2="D", "Dark", TRUE, "")</calculatedColumnFormula>
    </tableColumn>
    <tableColumn id="16" xr3:uid="{23D50865-10FD-4FF7-BC44-937567C9DFE6}" name="Loyality Card" dataDxfId="0">
      <calculatedColumnFormula>_xlfn.XLOOKUP(Table1[[#This Row],[Customer ID]], customers!$A$1:$A$1001, customers!$I$1:$I$1001,,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8CB2582-5916-401F-B3B0-3ACDC1F7B18D}" sourceName="Order Date">
  <pivotTables>
    <pivotTable tabId="18" name="Total Sales"/>
    <pivotTable tabId="18" name="top_5_customer"/>
    <pivotTable tabId="18" name="country by chart"/>
  </pivotTables>
  <state minimalRefreshVersion="6" lastRefreshVersion="6" pivotCacheId="10873275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8435F23-AAE1-4496-A0FE-FD888D76D609}" cache="NativeTimeline_Order_Date" caption="Order Date" level="2" selectionLevel="2" scrollPosition="2021-04-29T00:00:00" style="Purple Timeline Style "/>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BDD6-DF88-45A6-A48A-9CB7DCBE55EE}">
  <dimension ref="A3:J49"/>
  <sheetViews>
    <sheetView topLeftCell="C1" zoomScale="82" workbookViewId="0">
      <selection activeCell="L8" sqref="L8"/>
    </sheetView>
  </sheetViews>
  <sheetFormatPr defaultRowHeight="14.4" x14ac:dyDescent="0.3"/>
  <cols>
    <col min="1" max="1" width="12.5546875" bestFit="1" customWidth="1"/>
    <col min="2" max="2" width="21.33203125" bestFit="1" customWidth="1"/>
    <col min="3" max="6" width="19.44140625" bestFit="1" customWidth="1"/>
    <col min="7" max="7" width="10.77734375" bestFit="1" customWidth="1"/>
    <col min="9" max="9" width="15.77734375" bestFit="1" customWidth="1"/>
    <col min="10" max="10" width="11.6640625" bestFit="1" customWidth="1"/>
    <col min="11" max="11" width="18.88671875" bestFit="1" customWidth="1"/>
    <col min="12" max="12" width="21.77734375" bestFit="1" customWidth="1"/>
    <col min="13" max="13" width="11.6640625" bestFit="1" customWidth="1"/>
    <col min="14" max="14" width="10.77734375" bestFit="1" customWidth="1"/>
  </cols>
  <sheetData>
    <row r="3" spans="1:10" x14ac:dyDescent="0.3">
      <c r="A3" s="6" t="s">
        <v>6207</v>
      </c>
      <c r="C3" s="6" t="s">
        <v>6196</v>
      </c>
    </row>
    <row r="4" spans="1:10" x14ac:dyDescent="0.3">
      <c r="A4" s="6" t="s">
        <v>6201</v>
      </c>
      <c r="B4" s="6" t="s">
        <v>6202</v>
      </c>
      <c r="C4" t="s">
        <v>6203</v>
      </c>
      <c r="D4" t="s">
        <v>6204</v>
      </c>
      <c r="E4" t="s">
        <v>6205</v>
      </c>
      <c r="F4" t="s">
        <v>6206</v>
      </c>
      <c r="G4" t="s">
        <v>6198</v>
      </c>
    </row>
    <row r="5" spans="1:10" x14ac:dyDescent="0.3">
      <c r="A5" t="s">
        <v>6210</v>
      </c>
      <c r="B5" t="s">
        <v>6211</v>
      </c>
      <c r="C5" s="7">
        <v>186.85499999999999</v>
      </c>
      <c r="D5" s="7">
        <v>305.97000000000003</v>
      </c>
      <c r="E5" s="7">
        <v>213.15999999999997</v>
      </c>
      <c r="F5" s="7">
        <v>123</v>
      </c>
      <c r="G5" s="7">
        <v>828.98500000000001</v>
      </c>
      <c r="I5" s="6" t="s">
        <v>4</v>
      </c>
      <c r="J5" t="s">
        <v>6207</v>
      </c>
    </row>
    <row r="6" spans="1:10" x14ac:dyDescent="0.3">
      <c r="B6" t="s">
        <v>6212</v>
      </c>
      <c r="C6" s="7">
        <v>251.96499999999997</v>
      </c>
      <c r="D6" s="7">
        <v>129.46</v>
      </c>
      <c r="E6" s="7">
        <v>434.03999999999996</v>
      </c>
      <c r="F6" s="7">
        <v>171.93999999999997</v>
      </c>
      <c r="G6" s="7">
        <v>987.40499999999986</v>
      </c>
      <c r="I6" t="s">
        <v>3753</v>
      </c>
      <c r="J6" s="8">
        <v>278.01</v>
      </c>
    </row>
    <row r="7" spans="1:10" x14ac:dyDescent="0.3">
      <c r="B7" t="s">
        <v>6213</v>
      </c>
      <c r="C7" s="7">
        <v>224.94499999999999</v>
      </c>
      <c r="D7" s="7">
        <v>349.12</v>
      </c>
      <c r="E7" s="7">
        <v>321.04000000000002</v>
      </c>
      <c r="F7" s="7">
        <v>126.035</v>
      </c>
      <c r="G7" s="7">
        <v>1021.14</v>
      </c>
      <c r="I7" t="s">
        <v>1598</v>
      </c>
      <c r="J7" s="8">
        <v>281.67499999999995</v>
      </c>
    </row>
    <row r="8" spans="1:10" x14ac:dyDescent="0.3">
      <c r="B8" t="s">
        <v>6214</v>
      </c>
      <c r="C8" s="7">
        <v>307.12</v>
      </c>
      <c r="D8" s="7">
        <v>681.07499999999993</v>
      </c>
      <c r="E8" s="7">
        <v>533.70499999999993</v>
      </c>
      <c r="F8" s="7">
        <v>158.85</v>
      </c>
      <c r="G8" s="7">
        <v>1680.7499999999998</v>
      </c>
      <c r="I8" t="s">
        <v>2587</v>
      </c>
      <c r="J8" s="8">
        <v>289.11</v>
      </c>
    </row>
    <row r="9" spans="1:10" x14ac:dyDescent="0.3">
      <c r="B9" t="s">
        <v>6215</v>
      </c>
      <c r="C9" s="7">
        <v>53.664999999999992</v>
      </c>
      <c r="D9" s="7">
        <v>83.025000000000006</v>
      </c>
      <c r="E9" s="7">
        <v>193.83499999999998</v>
      </c>
      <c r="F9" s="7">
        <v>68.039999999999992</v>
      </c>
      <c r="G9" s="7">
        <v>398.56499999999994</v>
      </c>
      <c r="I9" t="s">
        <v>5765</v>
      </c>
      <c r="J9" s="8">
        <v>307.04499999999996</v>
      </c>
    </row>
    <row r="10" spans="1:10" x14ac:dyDescent="0.3">
      <c r="B10" t="s">
        <v>6216</v>
      </c>
      <c r="C10" s="7">
        <v>163.01999999999998</v>
      </c>
      <c r="D10" s="7">
        <v>678.3599999999999</v>
      </c>
      <c r="E10" s="7">
        <v>171.04500000000002</v>
      </c>
      <c r="F10" s="7">
        <v>372.255</v>
      </c>
      <c r="G10" s="7">
        <v>1384.6799999999998</v>
      </c>
      <c r="I10" t="s">
        <v>5114</v>
      </c>
      <c r="J10" s="8">
        <v>317.06999999999994</v>
      </c>
    </row>
    <row r="11" spans="1:10" x14ac:dyDescent="0.3">
      <c r="B11" t="s">
        <v>6217</v>
      </c>
      <c r="C11" s="7">
        <v>345.02</v>
      </c>
      <c r="D11" s="7">
        <v>273.86999999999995</v>
      </c>
      <c r="E11" s="7">
        <v>184.12999999999997</v>
      </c>
      <c r="F11" s="7">
        <v>201.11499999999998</v>
      </c>
      <c r="G11" s="7">
        <v>1004.1349999999999</v>
      </c>
      <c r="I11" t="s">
        <v>6198</v>
      </c>
      <c r="J11" s="8">
        <v>1472.9099999999999</v>
      </c>
    </row>
    <row r="12" spans="1:10" x14ac:dyDescent="0.3">
      <c r="B12" t="s">
        <v>6218</v>
      </c>
      <c r="C12" s="7">
        <v>334.89</v>
      </c>
      <c r="D12" s="7">
        <v>70.95</v>
      </c>
      <c r="E12" s="7">
        <v>134.23000000000002</v>
      </c>
      <c r="F12" s="7">
        <v>166.27499999999998</v>
      </c>
      <c r="G12" s="7">
        <v>706.34499999999991</v>
      </c>
    </row>
    <row r="13" spans="1:10" x14ac:dyDescent="0.3">
      <c r="B13" t="s">
        <v>6219</v>
      </c>
      <c r="C13" s="7">
        <v>178.70999999999998</v>
      </c>
      <c r="D13" s="7">
        <v>166.1</v>
      </c>
      <c r="E13" s="7">
        <v>439.30999999999995</v>
      </c>
      <c r="F13" s="7">
        <v>492.9</v>
      </c>
      <c r="G13" s="7">
        <v>1277.02</v>
      </c>
    </row>
    <row r="14" spans="1:10" x14ac:dyDescent="0.3">
      <c r="B14" t="s">
        <v>6200</v>
      </c>
      <c r="C14" s="7">
        <v>301.98500000000001</v>
      </c>
      <c r="D14" s="7">
        <v>153.76499999999999</v>
      </c>
      <c r="E14" s="7">
        <v>215.55499999999998</v>
      </c>
      <c r="F14" s="7">
        <v>213.66499999999999</v>
      </c>
      <c r="G14" s="7">
        <v>884.96999999999991</v>
      </c>
    </row>
    <row r="15" spans="1:10" x14ac:dyDescent="0.3">
      <c r="B15" t="s">
        <v>6209</v>
      </c>
      <c r="C15" s="7">
        <v>312.83499999999998</v>
      </c>
      <c r="D15" s="7">
        <v>63.249999999999993</v>
      </c>
      <c r="E15" s="7">
        <v>350.89500000000004</v>
      </c>
      <c r="F15" s="7">
        <v>96.405000000000001</v>
      </c>
      <c r="G15" s="7">
        <v>823.38499999999999</v>
      </c>
    </row>
    <row r="16" spans="1:10" x14ac:dyDescent="0.3">
      <c r="B16" t="s">
        <v>6220</v>
      </c>
      <c r="C16" s="7">
        <v>265.62</v>
      </c>
      <c r="D16" s="7">
        <v>526.51499999999987</v>
      </c>
      <c r="E16" s="7">
        <v>187.06</v>
      </c>
      <c r="F16" s="7">
        <v>210.58999999999997</v>
      </c>
      <c r="G16" s="7">
        <v>1189.7849999999999</v>
      </c>
    </row>
    <row r="17" spans="1:10" x14ac:dyDescent="0.3">
      <c r="A17" t="s">
        <v>6221</v>
      </c>
      <c r="B17" t="s">
        <v>6211</v>
      </c>
      <c r="C17" s="7">
        <v>47.25</v>
      </c>
      <c r="D17" s="7">
        <v>65.805000000000007</v>
      </c>
      <c r="E17" s="7">
        <v>274.67500000000001</v>
      </c>
      <c r="F17" s="7">
        <v>179.22</v>
      </c>
      <c r="G17" s="7">
        <v>566.95000000000005</v>
      </c>
    </row>
    <row r="18" spans="1:10" x14ac:dyDescent="0.3">
      <c r="B18" t="s">
        <v>6212</v>
      </c>
      <c r="C18" s="7">
        <v>745.44999999999993</v>
      </c>
      <c r="D18" s="7">
        <v>428.88499999999999</v>
      </c>
      <c r="E18" s="7">
        <v>194.17499999999998</v>
      </c>
      <c r="F18" s="7">
        <v>429.82999999999993</v>
      </c>
      <c r="G18" s="7">
        <v>1798.34</v>
      </c>
    </row>
    <row r="19" spans="1:10" x14ac:dyDescent="0.3">
      <c r="B19" t="s">
        <v>6213</v>
      </c>
      <c r="C19" s="7">
        <v>130.47</v>
      </c>
      <c r="D19" s="7">
        <v>271.48500000000001</v>
      </c>
      <c r="E19" s="7">
        <v>281.20499999999998</v>
      </c>
      <c r="F19" s="7">
        <v>231.63000000000002</v>
      </c>
      <c r="G19" s="7">
        <v>914.79000000000008</v>
      </c>
    </row>
    <row r="20" spans="1:10" x14ac:dyDescent="0.3">
      <c r="B20" t="s">
        <v>6214</v>
      </c>
      <c r="C20" s="7">
        <v>27</v>
      </c>
      <c r="D20" s="7">
        <v>347.26</v>
      </c>
      <c r="E20" s="7">
        <v>147.51</v>
      </c>
      <c r="F20" s="7">
        <v>240.04</v>
      </c>
      <c r="G20" s="7">
        <v>761.81</v>
      </c>
    </row>
    <row r="21" spans="1:10" x14ac:dyDescent="0.3">
      <c r="B21" t="s">
        <v>6215</v>
      </c>
      <c r="C21" s="7">
        <v>255.11499999999995</v>
      </c>
      <c r="D21" s="7">
        <v>541.73</v>
      </c>
      <c r="E21" s="7">
        <v>83.43</v>
      </c>
      <c r="F21" s="7">
        <v>59.079999999999991</v>
      </c>
      <c r="G21" s="7">
        <v>939.35500000000013</v>
      </c>
      <c r="I21" s="6" t="s">
        <v>7</v>
      </c>
      <c r="J21" t="s">
        <v>6207</v>
      </c>
    </row>
    <row r="22" spans="1:10" x14ac:dyDescent="0.3">
      <c r="B22" t="s">
        <v>6216</v>
      </c>
      <c r="C22" s="7">
        <v>584.78999999999985</v>
      </c>
      <c r="D22" s="7">
        <v>357.42999999999995</v>
      </c>
      <c r="E22" s="7">
        <v>355.34</v>
      </c>
      <c r="F22" s="7">
        <v>140.88</v>
      </c>
      <c r="G22" s="7">
        <v>1438.4399999999996</v>
      </c>
      <c r="I22" t="s">
        <v>28</v>
      </c>
      <c r="J22" s="8">
        <v>2798.5050000000001</v>
      </c>
    </row>
    <row r="23" spans="1:10" x14ac:dyDescent="0.3">
      <c r="B23" t="s">
        <v>6217</v>
      </c>
      <c r="C23" s="7">
        <v>430.62</v>
      </c>
      <c r="D23" s="7">
        <v>227.42500000000001</v>
      </c>
      <c r="E23" s="7">
        <v>236.315</v>
      </c>
      <c r="F23" s="7">
        <v>414.58499999999992</v>
      </c>
      <c r="G23" s="7">
        <v>1308.9450000000002</v>
      </c>
      <c r="I23" t="s">
        <v>318</v>
      </c>
      <c r="J23" s="8">
        <v>6696.8649999999989</v>
      </c>
    </row>
    <row r="24" spans="1:10" x14ac:dyDescent="0.3">
      <c r="B24" t="s">
        <v>6218</v>
      </c>
      <c r="C24" s="7">
        <v>22.5</v>
      </c>
      <c r="D24" s="7">
        <v>77.72</v>
      </c>
      <c r="E24" s="7">
        <v>60.5</v>
      </c>
      <c r="F24" s="7">
        <v>139.67999999999998</v>
      </c>
      <c r="G24" s="7">
        <v>300.39999999999998</v>
      </c>
      <c r="I24" t="s">
        <v>19</v>
      </c>
      <c r="J24" s="8">
        <v>35638.88499999998</v>
      </c>
    </row>
    <row r="25" spans="1:10" x14ac:dyDescent="0.3">
      <c r="B25" t="s">
        <v>6219</v>
      </c>
      <c r="C25" s="7">
        <v>126.14999999999999</v>
      </c>
      <c r="D25" s="7">
        <v>195.11</v>
      </c>
      <c r="E25" s="7">
        <v>89.13</v>
      </c>
      <c r="F25" s="7">
        <v>302.65999999999997</v>
      </c>
      <c r="G25" s="7">
        <v>713.05</v>
      </c>
      <c r="I25" t="s">
        <v>6198</v>
      </c>
      <c r="J25" s="8">
        <v>45134.254999999976</v>
      </c>
    </row>
    <row r="26" spans="1:10" x14ac:dyDescent="0.3">
      <c r="B26" t="s">
        <v>6200</v>
      </c>
      <c r="C26" s="7">
        <v>376.03</v>
      </c>
      <c r="D26" s="7">
        <v>523.24</v>
      </c>
      <c r="E26" s="7">
        <v>440.96499999999997</v>
      </c>
      <c r="F26" s="7">
        <v>174.46999999999997</v>
      </c>
      <c r="G26" s="7">
        <v>1514.7049999999999</v>
      </c>
    </row>
    <row r="27" spans="1:10" x14ac:dyDescent="0.3">
      <c r="B27" t="s">
        <v>6209</v>
      </c>
      <c r="C27" s="7">
        <v>515.17999999999995</v>
      </c>
      <c r="D27" s="7">
        <v>142.56</v>
      </c>
      <c r="E27" s="7">
        <v>347.03999999999996</v>
      </c>
      <c r="F27" s="7">
        <v>104.08499999999999</v>
      </c>
      <c r="G27" s="7">
        <v>1108.865</v>
      </c>
    </row>
    <row r="28" spans="1:10" x14ac:dyDescent="0.3">
      <c r="B28" t="s">
        <v>6220</v>
      </c>
      <c r="C28" s="7">
        <v>95.859999999999985</v>
      </c>
      <c r="D28" s="7">
        <v>484.76</v>
      </c>
      <c r="E28" s="7">
        <v>94.17</v>
      </c>
      <c r="F28" s="7">
        <v>77.10499999999999</v>
      </c>
      <c r="G28" s="7">
        <v>751.89499999999998</v>
      </c>
    </row>
    <row r="29" spans="1:10" x14ac:dyDescent="0.3">
      <c r="A29" t="s">
        <v>6199</v>
      </c>
      <c r="B29" t="s">
        <v>6211</v>
      </c>
      <c r="C29" s="7">
        <v>258.34500000000003</v>
      </c>
      <c r="D29" s="7">
        <v>139.625</v>
      </c>
      <c r="E29" s="7">
        <v>279.52000000000004</v>
      </c>
      <c r="F29" s="7">
        <v>160.19499999999999</v>
      </c>
      <c r="G29" s="7">
        <v>837.68499999999995</v>
      </c>
    </row>
    <row r="30" spans="1:10" x14ac:dyDescent="0.3">
      <c r="B30" t="s">
        <v>6212</v>
      </c>
      <c r="C30" s="7">
        <v>342.2</v>
      </c>
      <c r="D30" s="7">
        <v>284.24999999999994</v>
      </c>
      <c r="E30" s="7">
        <v>251.83</v>
      </c>
      <c r="F30" s="7">
        <v>80.550000000000011</v>
      </c>
      <c r="G30" s="7">
        <v>958.82999999999993</v>
      </c>
    </row>
    <row r="31" spans="1:10" x14ac:dyDescent="0.3">
      <c r="B31" t="s">
        <v>6213</v>
      </c>
      <c r="C31" s="7">
        <v>418.30499999999989</v>
      </c>
      <c r="D31" s="7">
        <v>468.125</v>
      </c>
      <c r="E31" s="7">
        <v>405.05500000000006</v>
      </c>
      <c r="F31" s="7">
        <v>253.15499999999997</v>
      </c>
      <c r="G31" s="7">
        <v>1544.6399999999999</v>
      </c>
    </row>
    <row r="32" spans="1:10" x14ac:dyDescent="0.3">
      <c r="B32" t="s">
        <v>6214</v>
      </c>
      <c r="C32" s="7">
        <v>102.32999999999998</v>
      </c>
      <c r="D32" s="7">
        <v>242.14000000000001</v>
      </c>
      <c r="E32" s="7">
        <v>554.875</v>
      </c>
      <c r="F32" s="7">
        <v>106.23999999999998</v>
      </c>
      <c r="G32" s="7">
        <v>1005.585</v>
      </c>
    </row>
    <row r="33" spans="1:7" x14ac:dyDescent="0.3">
      <c r="B33" t="s">
        <v>6215</v>
      </c>
      <c r="C33" s="7">
        <v>234.71999999999997</v>
      </c>
      <c r="D33" s="7">
        <v>133.08000000000001</v>
      </c>
      <c r="E33" s="7">
        <v>267.2</v>
      </c>
      <c r="F33" s="7">
        <v>272.68999999999994</v>
      </c>
      <c r="G33" s="7">
        <v>907.68999999999994</v>
      </c>
    </row>
    <row r="34" spans="1:7" x14ac:dyDescent="0.3">
      <c r="B34" t="s">
        <v>6216</v>
      </c>
      <c r="C34" s="7">
        <v>430.39</v>
      </c>
      <c r="D34" s="7">
        <v>136.20500000000001</v>
      </c>
      <c r="E34" s="7">
        <v>209.6</v>
      </c>
      <c r="F34" s="7">
        <v>88.334999999999994</v>
      </c>
      <c r="G34" s="7">
        <v>864.53000000000009</v>
      </c>
    </row>
    <row r="35" spans="1:7" x14ac:dyDescent="0.3">
      <c r="B35" t="s">
        <v>6217</v>
      </c>
      <c r="C35" s="7">
        <v>109.005</v>
      </c>
      <c r="D35" s="7">
        <v>393.57499999999999</v>
      </c>
      <c r="E35" s="7">
        <v>61.034999999999997</v>
      </c>
      <c r="F35" s="7">
        <v>199.48999999999998</v>
      </c>
      <c r="G35" s="7">
        <v>763.10500000000002</v>
      </c>
    </row>
    <row r="36" spans="1:7" x14ac:dyDescent="0.3">
      <c r="B36" t="s">
        <v>6218</v>
      </c>
      <c r="C36" s="7">
        <v>287.52499999999998</v>
      </c>
      <c r="D36" s="7">
        <v>288.67</v>
      </c>
      <c r="E36" s="7">
        <v>125.58</v>
      </c>
      <c r="F36" s="7">
        <v>374.13499999999999</v>
      </c>
      <c r="G36" s="7">
        <v>1075.9099999999999</v>
      </c>
    </row>
    <row r="37" spans="1:7" x14ac:dyDescent="0.3">
      <c r="B37" t="s">
        <v>6219</v>
      </c>
      <c r="C37" s="7">
        <v>840.92999999999984</v>
      </c>
      <c r="D37" s="7">
        <v>409.875</v>
      </c>
      <c r="E37" s="7">
        <v>171.32999999999998</v>
      </c>
      <c r="F37" s="7">
        <v>221.43999999999997</v>
      </c>
      <c r="G37" s="7">
        <v>1643.5749999999998</v>
      </c>
    </row>
    <row r="38" spans="1:7" x14ac:dyDescent="0.3">
      <c r="B38" t="s">
        <v>6200</v>
      </c>
      <c r="C38" s="7">
        <v>299.07</v>
      </c>
      <c r="D38" s="7">
        <v>260.32499999999999</v>
      </c>
      <c r="E38" s="7">
        <v>584.64</v>
      </c>
      <c r="F38" s="7">
        <v>256.36500000000001</v>
      </c>
      <c r="G38" s="7">
        <v>1400.3999999999999</v>
      </c>
    </row>
    <row r="39" spans="1:7" x14ac:dyDescent="0.3">
      <c r="B39" t="s">
        <v>6209</v>
      </c>
      <c r="C39" s="7">
        <v>323.32499999999999</v>
      </c>
      <c r="D39" s="7">
        <v>565.57000000000005</v>
      </c>
      <c r="E39" s="7">
        <v>537.80999999999995</v>
      </c>
      <c r="F39" s="7">
        <v>189.47499999999999</v>
      </c>
      <c r="G39" s="7">
        <v>1616.1799999999998</v>
      </c>
    </row>
    <row r="40" spans="1:7" x14ac:dyDescent="0.3">
      <c r="B40" t="s">
        <v>6220</v>
      </c>
      <c r="C40" s="7">
        <v>399.48499999999996</v>
      </c>
      <c r="D40" s="7">
        <v>148.19999999999999</v>
      </c>
      <c r="E40" s="7">
        <v>388.21999999999997</v>
      </c>
      <c r="F40" s="7">
        <v>212.07499999999999</v>
      </c>
      <c r="G40" s="7">
        <v>1147.98</v>
      </c>
    </row>
    <row r="41" spans="1:7" x14ac:dyDescent="0.3">
      <c r="A41" t="s">
        <v>6222</v>
      </c>
      <c r="B41" t="s">
        <v>6211</v>
      </c>
      <c r="C41" s="7">
        <v>112.69499999999999</v>
      </c>
      <c r="D41" s="7">
        <v>166.32</v>
      </c>
      <c r="E41" s="7">
        <v>843.71499999999992</v>
      </c>
      <c r="F41" s="7">
        <v>146.685</v>
      </c>
      <c r="G41" s="7">
        <v>1269.415</v>
      </c>
    </row>
    <row r="42" spans="1:7" x14ac:dyDescent="0.3">
      <c r="B42" t="s">
        <v>6212</v>
      </c>
      <c r="C42" s="7">
        <v>114.87999999999998</v>
      </c>
      <c r="D42" s="7">
        <v>133.815</v>
      </c>
      <c r="E42" s="7">
        <v>91.175000000000011</v>
      </c>
      <c r="F42" s="7">
        <v>53.759999999999991</v>
      </c>
      <c r="G42" s="7">
        <v>393.63</v>
      </c>
    </row>
    <row r="43" spans="1:7" x14ac:dyDescent="0.3">
      <c r="B43" t="s">
        <v>6213</v>
      </c>
      <c r="C43" s="7">
        <v>277.76</v>
      </c>
      <c r="D43" s="7">
        <v>175.41</v>
      </c>
      <c r="E43" s="7">
        <v>462.50999999999993</v>
      </c>
      <c r="F43" s="7">
        <v>399.52499999999998</v>
      </c>
      <c r="G43" s="7">
        <v>1315.2049999999999</v>
      </c>
    </row>
    <row r="44" spans="1:7" x14ac:dyDescent="0.3">
      <c r="B44" t="s">
        <v>6214</v>
      </c>
      <c r="C44" s="7">
        <v>197.89499999999998</v>
      </c>
      <c r="D44" s="7">
        <v>289.755</v>
      </c>
      <c r="E44" s="7">
        <v>88.545000000000002</v>
      </c>
      <c r="F44" s="7">
        <v>200.25499999999997</v>
      </c>
      <c r="G44" s="7">
        <v>776.44999999999993</v>
      </c>
    </row>
    <row r="45" spans="1:7" x14ac:dyDescent="0.3">
      <c r="B45" t="s">
        <v>6215</v>
      </c>
      <c r="C45" s="7">
        <v>193.11499999999998</v>
      </c>
      <c r="D45" s="7">
        <v>212.49499999999998</v>
      </c>
      <c r="E45" s="7">
        <v>292.29000000000002</v>
      </c>
      <c r="F45" s="7">
        <v>304.46999999999997</v>
      </c>
      <c r="G45" s="7">
        <v>1002.3699999999999</v>
      </c>
    </row>
    <row r="46" spans="1:7" x14ac:dyDescent="0.3">
      <c r="B46" t="s">
        <v>6216</v>
      </c>
      <c r="C46" s="7">
        <v>179.79</v>
      </c>
      <c r="D46" s="7">
        <v>426.2</v>
      </c>
      <c r="E46" s="7">
        <v>170.08999999999997</v>
      </c>
      <c r="F46" s="7">
        <v>379.31</v>
      </c>
      <c r="G46" s="7">
        <v>1155.3899999999999</v>
      </c>
    </row>
    <row r="47" spans="1:7" x14ac:dyDescent="0.3">
      <c r="B47" t="s">
        <v>6217</v>
      </c>
      <c r="C47" s="7">
        <v>247.28999999999996</v>
      </c>
      <c r="D47" s="7">
        <v>246.685</v>
      </c>
      <c r="E47" s="7">
        <v>271.05499999999995</v>
      </c>
      <c r="F47" s="7">
        <v>141.69999999999999</v>
      </c>
      <c r="G47" s="7">
        <v>906.73</v>
      </c>
    </row>
    <row r="48" spans="1:7" x14ac:dyDescent="0.3">
      <c r="B48" t="s">
        <v>6218</v>
      </c>
      <c r="C48" s="7">
        <v>116.39499999999998</v>
      </c>
      <c r="D48" s="7">
        <v>41.25</v>
      </c>
      <c r="E48" s="7">
        <v>15.54</v>
      </c>
      <c r="F48" s="7">
        <v>71.06</v>
      </c>
      <c r="G48" s="7">
        <v>244.24499999999998</v>
      </c>
    </row>
    <row r="49" spans="1:7" x14ac:dyDescent="0.3">
      <c r="A49" t="s">
        <v>6198</v>
      </c>
      <c r="C49" s="7">
        <v>11768.495000000003</v>
      </c>
      <c r="D49" s="7">
        <v>12306.440000000002</v>
      </c>
      <c r="E49" s="7">
        <v>12054.075000000003</v>
      </c>
      <c r="F49" s="7">
        <v>9005.244999999999</v>
      </c>
      <c r="G49" s="7">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D046B-4F02-4E1B-A064-B87CD66B993C}">
  <dimension ref="A1"/>
  <sheetViews>
    <sheetView showGridLines="0" tabSelected="1" zoomScale="53" workbookViewId="0">
      <selection activeCell="AD27" sqref="AD27"/>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08" zoomScaleNormal="115" workbookViewId="0">
      <selection activeCell="P3" sqref="P3"/>
    </sheetView>
  </sheetViews>
  <sheetFormatPr defaultRowHeight="14.4" x14ac:dyDescent="0.3"/>
  <cols>
    <col min="1" max="1" width="16.5546875" bestFit="1" customWidth="1"/>
    <col min="2" max="2" width="12.33203125" customWidth="1"/>
    <col min="3" max="3" width="17.44140625" bestFit="1" customWidth="1"/>
    <col min="4" max="4" width="11.77734375" customWidth="1"/>
    <col min="5" max="5" width="10.33203125" customWidth="1"/>
    <col min="6" max="6" width="21.88671875" bestFit="1" customWidth="1"/>
    <col min="7" max="7" width="36" bestFit="1" customWidth="1"/>
    <col min="8" max="8" width="11.88671875" bestFit="1" customWidth="1"/>
    <col min="9" max="9" width="12.88671875" customWidth="1"/>
    <col min="10" max="10" width="12.109375" customWidth="1"/>
    <col min="11" max="11" width="6" customWidth="1"/>
    <col min="12" max="12" width="11.109375" customWidth="1"/>
    <col min="13" max="13" width="8.88671875" bestFit="1" customWidth="1"/>
    <col min="14" max="14" width="18.44140625" customWidth="1"/>
    <col min="15" max="15" width="17.33203125" customWidth="1"/>
    <col min="16" max="16" width="14.1093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6208</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INDEX(Product!$A$1:$G$49,MATCH(orders!$D2,Product!$A$1:$A$49,0),MATCH(orders!I$1,Product!$A$1:$G$1,0))</f>
        <v>Rob</v>
      </c>
      <c r="J2" t="str">
        <f>INDEX(Product!$A$1:$G$49,MATCH(orders!$D2,Product!$A$1:$A$49,0),MATCH(orders!J$1,Product!$A$1:$G$1,0))</f>
        <v>M</v>
      </c>
      <c r="K2" s="4">
        <f>INDEX(Product!$A$1:$G$49,MATCH(orders!$D2,Product!$A$1:$A$49,0),MATCH(orders!K$1,Product!$A$1:$G$1,0))</f>
        <v>1</v>
      </c>
      <c r="L2" s="5">
        <f>INDEX(Product!$A$1:$G$49,MATCH(orders!$D2,Product!$A$1:$A$49,0),MATCH(orders!L$1,Product!$A$1:$G$1,0))</f>
        <v>9.9499999999999993</v>
      </c>
      <c r="M2" s="5">
        <f t="shared" ref="M2:M65" si="0">L2*E2</f>
        <v>19.899999999999999</v>
      </c>
      <c r="N2" t="str" cm="1">
        <f t="array" ref="N2">_xlfn.IFS(I2="Rob", "Robusta", I2="Exc", "Excelsa", I2="Ara", "Arabica", I2="Lib", "Liberica", TRUE, "")</f>
        <v>Robusta</v>
      </c>
      <c r="O2" t="str" cm="1">
        <f t="array" ref="O2">_xlfn.IFS(J2="M", "Medium", J2="L", "Light", J2="D", "Dark", TRUE, "")</f>
        <v>Medium</v>
      </c>
      <c r="P2" t="str">
        <f>_xlfn.XLOOKUP(Table1[[#This Row],[Customer ID]], customers!$A$1:$A$1001, customers!$I$1:$I$1001,, 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INDEX(Product!$A$1:$G$49,MATCH(orders!$D3,Product!$A$1:$A$49,0),MATCH(orders!I$1,Product!$A$1:$G$1,0))</f>
        <v>Exc</v>
      </c>
      <c r="J3" t="str">
        <f>INDEX(Product!$A$1:$G$49,MATCH(orders!$D3,Product!$A$1:$A$49,0),MATCH(orders!J$1,Product!$A$1:$G$1,0))</f>
        <v>M</v>
      </c>
      <c r="K3" s="4">
        <f>INDEX(Product!$A$1:$G$49,MATCH(orders!$D3,Product!$A$1:$A$49,0),MATCH(orders!K$1,Product!$A$1:$G$1,0))</f>
        <v>0.5</v>
      </c>
      <c r="L3" s="5">
        <f>INDEX(Product!$A$1:$G$49,MATCH(orders!$D3,Product!$A$1:$A$49,0),MATCH(orders!L$1,Product!$A$1:$G$1,0))</f>
        <v>8.25</v>
      </c>
      <c r="M3" s="5">
        <f t="shared" si="0"/>
        <v>41.25</v>
      </c>
      <c r="N3" t="str" cm="1">
        <f t="array" ref="N3">_xlfn.IFS(I3="Rob", "Robusta", I3="Exc", "Excelsa", I3="Ara", "Arabica", I3="Lib", "Liberica", TRUE, "")</f>
        <v>Excelsa</v>
      </c>
      <c r="O3" t="str" cm="1">
        <f t="array" ref="O3">_xlfn.IFS(J3="M", "Medium", J3="L", "Light", J3="D", "Dark", TRUE, "")</f>
        <v>Medium</v>
      </c>
      <c r="P3" t="str">
        <f>_xlfn.XLOOKUP(Table1[[#This Row],[Customer ID]], customers!$A$1:$A$1001, customers!$I$1:$I$1001,, 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INDEX(Product!$A$1:$G$49,MATCH(orders!$D4,Product!$A$1:$A$49,0),MATCH(orders!I$1,Product!$A$1:$G$1,0))</f>
        <v>Ara</v>
      </c>
      <c r="J4" t="str">
        <f>INDEX(Product!$A$1:$G$49,MATCH(orders!$D4,Product!$A$1:$A$49,0),MATCH(orders!J$1,Product!$A$1:$G$1,0))</f>
        <v>L</v>
      </c>
      <c r="K4" s="4">
        <f>INDEX(Product!$A$1:$G$49,MATCH(orders!$D4,Product!$A$1:$A$49,0),MATCH(orders!K$1,Product!$A$1:$G$1,0))</f>
        <v>1</v>
      </c>
      <c r="L4" s="5">
        <f>INDEX(Product!$A$1:$G$49,MATCH(orders!$D4,Product!$A$1:$A$49,0),MATCH(orders!L$1,Product!$A$1:$G$1,0))</f>
        <v>12.95</v>
      </c>
      <c r="M4" s="5">
        <f t="shared" si="0"/>
        <v>12.95</v>
      </c>
      <c r="N4" t="str" cm="1">
        <f t="array" ref="N4">_xlfn.IFS(I4="Rob", "Robusta", I4="Exc", "Excelsa", I4="Ara", "Arabica", I4="Lib", "Liberica", TRUE, "")</f>
        <v>Arabica</v>
      </c>
      <c r="O4" t="str" cm="1">
        <f t="array" ref="O4">_xlfn.IFS(J4="M", "Medium", J4="L", "Light", J4="D", "Dark", TRUE, "")</f>
        <v>Light</v>
      </c>
      <c r="P4" t="str">
        <f>_xlfn.XLOOKUP(Table1[[#This Row],[Customer ID]], customers!$A$1:$A$1001, customers!$I$1:$I$1001,, 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INDEX(Product!$A$1:$G$49,MATCH(orders!$D5,Product!$A$1:$A$49,0),MATCH(orders!I$1,Product!$A$1:$G$1,0))</f>
        <v>Exc</v>
      </c>
      <c r="J5" t="str">
        <f>INDEX(Product!$A$1:$G$49,MATCH(orders!$D5,Product!$A$1:$A$49,0),MATCH(orders!J$1,Product!$A$1:$G$1,0))</f>
        <v>M</v>
      </c>
      <c r="K5" s="4">
        <f>INDEX(Product!$A$1:$G$49,MATCH(orders!$D5,Product!$A$1:$A$49,0),MATCH(orders!K$1,Product!$A$1:$G$1,0))</f>
        <v>1</v>
      </c>
      <c r="L5" s="5">
        <f>INDEX(Product!$A$1:$G$49,MATCH(orders!$D5,Product!$A$1:$A$49,0),MATCH(orders!L$1,Product!$A$1:$G$1,0))</f>
        <v>13.75</v>
      </c>
      <c r="M5" s="5">
        <f t="shared" si="0"/>
        <v>27.5</v>
      </c>
      <c r="N5" t="str" cm="1">
        <f t="array" ref="N5">_xlfn.IFS(I5="Rob", "Robusta", I5="Exc", "Excelsa", I5="Ara", "Arabica", I5="Lib", "Liberica", TRUE, "")</f>
        <v>Excelsa</v>
      </c>
      <c r="O5" t="str" cm="1">
        <f t="array" ref="O5">_xlfn.IFS(J5="M", "Medium", J5="L", "Light", J5="D", "Dark", TRUE, "")</f>
        <v>Medium</v>
      </c>
      <c r="P5" t="str">
        <f>_xlfn.XLOOKUP(Table1[[#This Row],[Customer ID]], customers!$A$1:$A$1001, customers!$I$1:$I$1001,, 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INDEX(Product!$A$1:$G$49,MATCH(orders!$D6,Product!$A$1:$A$49,0),MATCH(orders!I$1,Product!$A$1:$G$1,0))</f>
        <v>Rob</v>
      </c>
      <c r="J6" t="str">
        <f>INDEX(Product!$A$1:$G$49,MATCH(orders!$D6,Product!$A$1:$A$49,0),MATCH(orders!J$1,Product!$A$1:$G$1,0))</f>
        <v>L</v>
      </c>
      <c r="K6" s="4">
        <f>INDEX(Product!$A$1:$G$49,MATCH(orders!$D6,Product!$A$1:$A$49,0),MATCH(orders!K$1,Product!$A$1:$G$1,0))</f>
        <v>2.5</v>
      </c>
      <c r="L6" s="5">
        <f>INDEX(Product!$A$1:$G$49,MATCH(orders!$D6,Product!$A$1:$A$49,0),MATCH(orders!L$1,Product!$A$1:$G$1,0))</f>
        <v>27.484999999999996</v>
      </c>
      <c r="M6" s="5">
        <f t="shared" si="0"/>
        <v>54.969999999999992</v>
      </c>
      <c r="N6" t="str" cm="1">
        <f t="array" ref="N6">_xlfn.IFS(I6="Rob", "Robusta", I6="Exc", "Excelsa", I6="Ara", "Arabica", I6="Lib", "Liberica", TRUE, "")</f>
        <v>Robusta</v>
      </c>
      <c r="O6" t="str" cm="1">
        <f t="array" ref="O6">_xlfn.IFS(J6="M", "Medium", J6="L", "Light", J6="D", "Dark", TRUE, "")</f>
        <v>Light</v>
      </c>
      <c r="P6" t="str">
        <f>_xlfn.XLOOKUP(Table1[[#This Row],[Customer ID]], customers!$A$1:$A$1001, customers!$I$1:$I$1001,, 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INDEX(Product!$A$1:$G$49,MATCH(orders!$D7,Product!$A$1:$A$49,0),MATCH(orders!I$1,Product!$A$1:$G$1,0))</f>
        <v>Lib</v>
      </c>
      <c r="J7" t="str">
        <f>INDEX(Product!$A$1:$G$49,MATCH(orders!$D7,Product!$A$1:$A$49,0),MATCH(orders!J$1,Product!$A$1:$G$1,0))</f>
        <v>D</v>
      </c>
      <c r="K7" s="4">
        <f>INDEX(Product!$A$1:$G$49,MATCH(orders!$D7,Product!$A$1:$A$49,0),MATCH(orders!K$1,Product!$A$1:$G$1,0))</f>
        <v>1</v>
      </c>
      <c r="L7" s="5">
        <f>INDEX(Product!$A$1:$G$49,MATCH(orders!$D7,Product!$A$1:$A$49,0),MATCH(orders!L$1,Product!$A$1:$G$1,0))</f>
        <v>12.95</v>
      </c>
      <c r="M7" s="5">
        <f t="shared" si="0"/>
        <v>38.849999999999994</v>
      </c>
      <c r="N7" t="str" cm="1">
        <f t="array" ref="N7">_xlfn.IFS(I7="Rob", "Robusta", I7="Exc", "Excelsa", I7="Ara", "Arabica", I7="Lib", "Liberica", TRUE, "")</f>
        <v>Liberica</v>
      </c>
      <c r="O7" t="str" cm="1">
        <f t="array" ref="O7">_xlfn.IFS(J7="M", "Medium", J7="L", "Light", J7="D", "Dark", TRUE, "")</f>
        <v>Dark</v>
      </c>
      <c r="P7" t="str">
        <f>_xlfn.XLOOKUP(Table1[[#This Row],[Customer ID]], customers!$A$1:$A$1001, customers!$I$1:$I$1001,, 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INDEX(Product!$A$1:$G$49,MATCH(orders!$D8,Product!$A$1:$A$49,0),MATCH(orders!I$1,Product!$A$1:$G$1,0))</f>
        <v>Exc</v>
      </c>
      <c r="J8" t="str">
        <f>INDEX(Product!$A$1:$G$49,MATCH(orders!$D8,Product!$A$1:$A$49,0),MATCH(orders!J$1,Product!$A$1:$G$1,0))</f>
        <v>D</v>
      </c>
      <c r="K8" s="4">
        <f>INDEX(Product!$A$1:$G$49,MATCH(orders!$D8,Product!$A$1:$A$49,0),MATCH(orders!K$1,Product!$A$1:$G$1,0))</f>
        <v>0.5</v>
      </c>
      <c r="L8" s="5">
        <f>INDEX(Product!$A$1:$G$49,MATCH(orders!$D8,Product!$A$1:$A$49,0),MATCH(orders!L$1,Product!$A$1:$G$1,0))</f>
        <v>7.29</v>
      </c>
      <c r="M8" s="5">
        <f t="shared" si="0"/>
        <v>21.87</v>
      </c>
      <c r="N8" t="str" cm="1">
        <f t="array" ref="N8">_xlfn.IFS(I8="Rob", "Robusta", I8="Exc", "Excelsa", I8="Ara", "Arabica", I8="Lib", "Liberica", TRUE, "")</f>
        <v>Excelsa</v>
      </c>
      <c r="O8" t="str" cm="1">
        <f t="array" ref="O8">_xlfn.IFS(J8="M", "Medium", J8="L", "Light", J8="D", "Dark", TRUE, "")</f>
        <v>Dark</v>
      </c>
      <c r="P8" t="str">
        <f>_xlfn.XLOOKUP(Table1[[#This Row],[Customer ID]], customers!$A$1:$A$1001, customers!$I$1:$I$1001,, 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INDEX(Product!$A$1:$G$49,MATCH(orders!$D9,Product!$A$1:$A$49,0),MATCH(orders!I$1,Product!$A$1:$G$1,0))</f>
        <v>Lib</v>
      </c>
      <c r="J9" t="str">
        <f>INDEX(Product!$A$1:$G$49,MATCH(orders!$D9,Product!$A$1:$A$49,0),MATCH(orders!J$1,Product!$A$1:$G$1,0))</f>
        <v>L</v>
      </c>
      <c r="K9" s="4">
        <f>INDEX(Product!$A$1:$G$49,MATCH(orders!$D9,Product!$A$1:$A$49,0),MATCH(orders!K$1,Product!$A$1:$G$1,0))</f>
        <v>0.2</v>
      </c>
      <c r="L9" s="5">
        <f>INDEX(Product!$A$1:$G$49,MATCH(orders!$D9,Product!$A$1:$A$49,0),MATCH(orders!L$1,Product!$A$1:$G$1,0))</f>
        <v>4.7549999999999999</v>
      </c>
      <c r="M9" s="5">
        <f t="shared" si="0"/>
        <v>4.7549999999999999</v>
      </c>
      <c r="N9" t="str" cm="1">
        <f t="array" ref="N9">_xlfn.IFS(I9="Rob", "Robusta", I9="Exc", "Excelsa", I9="Ara", "Arabica", I9="Lib", "Liberica", TRUE, "")</f>
        <v>Liberica</v>
      </c>
      <c r="O9" t="str" cm="1">
        <f t="array" ref="O9">_xlfn.IFS(J9="M", "Medium", J9="L", "Light", J9="D", "Dark", TRUE, "")</f>
        <v>Light</v>
      </c>
      <c r="P9" t="str">
        <f>_xlfn.XLOOKUP(Table1[[#This Row],[Customer ID]], customers!$A$1:$A$1001, customers!$I$1:$I$1001,, 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INDEX(Product!$A$1:$G$49,MATCH(orders!$D10,Product!$A$1:$A$49,0),MATCH(orders!I$1,Product!$A$1:$G$1,0))</f>
        <v>Rob</v>
      </c>
      <c r="J10" t="str">
        <f>INDEX(Product!$A$1:$G$49,MATCH(orders!$D10,Product!$A$1:$A$49,0),MATCH(orders!J$1,Product!$A$1:$G$1,0))</f>
        <v>M</v>
      </c>
      <c r="K10" s="4">
        <f>INDEX(Product!$A$1:$G$49,MATCH(orders!$D10,Product!$A$1:$A$49,0),MATCH(orders!K$1,Product!$A$1:$G$1,0))</f>
        <v>0.5</v>
      </c>
      <c r="L10" s="5">
        <f>INDEX(Product!$A$1:$G$49,MATCH(orders!$D10,Product!$A$1:$A$49,0),MATCH(orders!L$1,Product!$A$1:$G$1,0))</f>
        <v>5.97</v>
      </c>
      <c r="M10" s="5">
        <f t="shared" si="0"/>
        <v>17.91</v>
      </c>
      <c r="N10" t="str" cm="1">
        <f t="array" ref="N10">_xlfn.IFS(I10="Rob", "Robusta", I10="Exc", "Excelsa", I10="Ara", "Arabica", I10="Lib", "Liberica", TRUE, "")</f>
        <v>Robusta</v>
      </c>
      <c r="O10" t="str" cm="1">
        <f t="array" ref="O10">_xlfn.IFS(J10="M", "Medium", J10="L", "Light", J10="D", "Dark", TRUE, "")</f>
        <v>Medium</v>
      </c>
      <c r="P10" t="str">
        <f>_xlfn.XLOOKUP(Table1[[#This Row],[Customer ID]], customers!$A$1:$A$1001, customers!$I$1:$I$1001,, 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INDEX(Product!$A$1:$G$49,MATCH(orders!$D11,Product!$A$1:$A$49,0),MATCH(orders!I$1,Product!$A$1:$G$1,0))</f>
        <v>Rob</v>
      </c>
      <c r="J11" t="str">
        <f>INDEX(Product!$A$1:$G$49,MATCH(orders!$D11,Product!$A$1:$A$49,0),MATCH(orders!J$1,Product!$A$1:$G$1,0))</f>
        <v>M</v>
      </c>
      <c r="K11" s="4">
        <f>INDEX(Product!$A$1:$G$49,MATCH(orders!$D11,Product!$A$1:$A$49,0),MATCH(orders!K$1,Product!$A$1:$G$1,0))</f>
        <v>0.5</v>
      </c>
      <c r="L11" s="5">
        <f>INDEX(Product!$A$1:$G$49,MATCH(orders!$D11,Product!$A$1:$A$49,0),MATCH(orders!L$1,Product!$A$1:$G$1,0))</f>
        <v>5.97</v>
      </c>
      <c r="M11" s="5">
        <f t="shared" si="0"/>
        <v>5.97</v>
      </c>
      <c r="N11" t="str" cm="1">
        <f t="array" ref="N11">_xlfn.IFS(I11="Rob", "Robusta", I11="Exc", "Excelsa", I11="Ara", "Arabica", I11="Lib", "Liberica", TRUE, "")</f>
        <v>Robusta</v>
      </c>
      <c r="O11" t="str" cm="1">
        <f t="array" ref="O11">_xlfn.IFS(J11="M", "Medium", J11="L", "Light", J11="D", "Dark", TRUE, "")</f>
        <v>Medium</v>
      </c>
      <c r="P11" t="str">
        <f>_xlfn.XLOOKUP(Table1[[#This Row],[Customer ID]], customers!$A$1:$A$1001, customers!$I$1:$I$1001,, 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INDEX(Product!$A$1:$G$49,MATCH(orders!$D12,Product!$A$1:$A$49,0),MATCH(orders!I$1,Product!$A$1:$G$1,0))</f>
        <v>Ara</v>
      </c>
      <c r="J12" t="str">
        <f>INDEX(Product!$A$1:$G$49,MATCH(orders!$D12,Product!$A$1:$A$49,0),MATCH(orders!J$1,Product!$A$1:$G$1,0))</f>
        <v>D</v>
      </c>
      <c r="K12" s="4">
        <f>INDEX(Product!$A$1:$G$49,MATCH(orders!$D12,Product!$A$1:$A$49,0),MATCH(orders!K$1,Product!$A$1:$G$1,0))</f>
        <v>1</v>
      </c>
      <c r="L12" s="5">
        <f>INDEX(Product!$A$1:$G$49,MATCH(orders!$D12,Product!$A$1:$A$49,0),MATCH(orders!L$1,Product!$A$1:$G$1,0))</f>
        <v>9.9499999999999993</v>
      </c>
      <c r="M12" s="5">
        <f t="shared" si="0"/>
        <v>39.799999999999997</v>
      </c>
      <c r="N12" t="str" cm="1">
        <f t="array" ref="N12">_xlfn.IFS(I12="Rob", "Robusta", I12="Exc", "Excelsa", I12="Ara", "Arabica", I12="Lib", "Liberica", TRUE, "")</f>
        <v>Arabica</v>
      </c>
      <c r="O12" t="str" cm="1">
        <f t="array" ref="O12">_xlfn.IFS(J12="M", "Medium", J12="L", "Light", J12="D", "Dark", TRUE, "")</f>
        <v>Dark</v>
      </c>
      <c r="P12" t="str">
        <f>_xlfn.XLOOKUP(Table1[[#This Row],[Customer ID]], customers!$A$1:$A$1001, customers!$I$1:$I$1001,, 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INDEX(Product!$A$1:$G$49,MATCH(orders!$D13,Product!$A$1:$A$49,0),MATCH(orders!I$1,Product!$A$1:$G$1,0))</f>
        <v>Exc</v>
      </c>
      <c r="J13" t="str">
        <f>INDEX(Product!$A$1:$G$49,MATCH(orders!$D13,Product!$A$1:$A$49,0),MATCH(orders!J$1,Product!$A$1:$G$1,0))</f>
        <v>L</v>
      </c>
      <c r="K13" s="4">
        <f>INDEX(Product!$A$1:$G$49,MATCH(orders!$D13,Product!$A$1:$A$49,0),MATCH(orders!K$1,Product!$A$1:$G$1,0))</f>
        <v>2.5</v>
      </c>
      <c r="L13" s="5">
        <f>INDEX(Product!$A$1:$G$49,MATCH(orders!$D13,Product!$A$1:$A$49,0),MATCH(orders!L$1,Product!$A$1:$G$1,0))</f>
        <v>34.154999999999994</v>
      </c>
      <c r="M13" s="5">
        <f t="shared" si="0"/>
        <v>170.77499999999998</v>
      </c>
      <c r="N13" t="str" cm="1">
        <f t="array" ref="N13">_xlfn.IFS(I13="Rob", "Robusta", I13="Exc", "Excelsa", I13="Ara", "Arabica", I13="Lib", "Liberica", TRUE, "")</f>
        <v>Excelsa</v>
      </c>
      <c r="O13" t="str" cm="1">
        <f t="array" ref="O13">_xlfn.IFS(J13="M", "Medium", J13="L", "Light", J13="D", "Dark", TRUE, "")</f>
        <v>Light</v>
      </c>
      <c r="P13" t="str">
        <f>_xlfn.XLOOKUP(Table1[[#This Row],[Customer ID]], customers!$A$1:$A$1001, customers!$I$1:$I$1001,, 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INDEX(Product!$A$1:$G$49,MATCH(orders!$D14,Product!$A$1:$A$49,0),MATCH(orders!I$1,Product!$A$1:$G$1,0))</f>
        <v>Rob</v>
      </c>
      <c r="J14" t="str">
        <f>INDEX(Product!$A$1:$G$49,MATCH(orders!$D14,Product!$A$1:$A$49,0),MATCH(orders!J$1,Product!$A$1:$G$1,0))</f>
        <v>M</v>
      </c>
      <c r="K14" s="4">
        <f>INDEX(Product!$A$1:$G$49,MATCH(orders!$D14,Product!$A$1:$A$49,0),MATCH(orders!K$1,Product!$A$1:$G$1,0))</f>
        <v>1</v>
      </c>
      <c r="L14" s="5">
        <f>INDEX(Product!$A$1:$G$49,MATCH(orders!$D14,Product!$A$1:$A$49,0),MATCH(orders!L$1,Product!$A$1:$G$1,0))</f>
        <v>9.9499999999999993</v>
      </c>
      <c r="M14" s="5">
        <f t="shared" si="0"/>
        <v>49.75</v>
      </c>
      <c r="N14" t="str" cm="1">
        <f t="array" ref="N14">_xlfn.IFS(I14="Rob", "Robusta", I14="Exc", "Excelsa", I14="Ara", "Arabica", I14="Lib", "Liberica", TRUE, "")</f>
        <v>Robusta</v>
      </c>
      <c r="O14" t="str" cm="1">
        <f t="array" ref="O14">_xlfn.IFS(J14="M", "Medium", J14="L", "Light", J14="D", "Dark", TRUE, "")</f>
        <v>Medium</v>
      </c>
      <c r="P14" t="str">
        <f>_xlfn.XLOOKUP(Table1[[#This Row],[Customer ID]], customers!$A$1:$A$1001, customers!$I$1:$I$1001,, 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INDEX(Product!$A$1:$G$49,MATCH(orders!$D15,Product!$A$1:$A$49,0),MATCH(orders!I$1,Product!$A$1:$G$1,0))</f>
        <v>Rob</v>
      </c>
      <c r="J15" t="str">
        <f>INDEX(Product!$A$1:$G$49,MATCH(orders!$D15,Product!$A$1:$A$49,0),MATCH(orders!J$1,Product!$A$1:$G$1,0))</f>
        <v>D</v>
      </c>
      <c r="K15" s="4">
        <f>INDEX(Product!$A$1:$G$49,MATCH(orders!$D15,Product!$A$1:$A$49,0),MATCH(orders!K$1,Product!$A$1:$G$1,0))</f>
        <v>2.5</v>
      </c>
      <c r="L15" s="5">
        <f>INDEX(Product!$A$1:$G$49,MATCH(orders!$D15,Product!$A$1:$A$49,0),MATCH(orders!L$1,Product!$A$1:$G$1,0))</f>
        <v>20.584999999999997</v>
      </c>
      <c r="M15" s="5">
        <f t="shared" si="0"/>
        <v>41.169999999999995</v>
      </c>
      <c r="N15" t="str" cm="1">
        <f t="array" ref="N15">_xlfn.IFS(I15="Rob", "Robusta", I15="Exc", "Excelsa", I15="Ara", "Arabica", I15="Lib", "Liberica", TRUE, "")</f>
        <v>Robusta</v>
      </c>
      <c r="O15" t="str" cm="1">
        <f t="array" ref="O15">_xlfn.IFS(J15="M", "Medium", J15="L", "Light", J15="D", "Dark", TRUE, "")</f>
        <v>Dark</v>
      </c>
      <c r="P15" t="str">
        <f>_xlfn.XLOOKUP(Table1[[#This Row],[Customer ID]], customers!$A$1:$A$1001, customers!$I$1:$I$1001,, 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INDEX(Product!$A$1:$G$49,MATCH(orders!$D16,Product!$A$1:$A$49,0),MATCH(orders!I$1,Product!$A$1:$G$1,0))</f>
        <v>Lib</v>
      </c>
      <c r="J16" t="str">
        <f>INDEX(Product!$A$1:$G$49,MATCH(orders!$D16,Product!$A$1:$A$49,0),MATCH(orders!J$1,Product!$A$1:$G$1,0))</f>
        <v>D</v>
      </c>
      <c r="K16" s="4">
        <f>INDEX(Product!$A$1:$G$49,MATCH(orders!$D16,Product!$A$1:$A$49,0),MATCH(orders!K$1,Product!$A$1:$G$1,0))</f>
        <v>0.2</v>
      </c>
      <c r="L16" s="5">
        <f>INDEX(Product!$A$1:$G$49,MATCH(orders!$D16,Product!$A$1:$A$49,0),MATCH(orders!L$1,Product!$A$1:$G$1,0))</f>
        <v>3.8849999999999998</v>
      </c>
      <c r="M16" s="5">
        <f t="shared" si="0"/>
        <v>11.654999999999999</v>
      </c>
      <c r="N16" t="str" cm="1">
        <f t="array" ref="N16">_xlfn.IFS(I16="Rob", "Robusta", I16="Exc", "Excelsa", I16="Ara", "Arabica", I16="Lib", "Liberica", TRUE, "")</f>
        <v>Liberica</v>
      </c>
      <c r="O16" t="str" cm="1">
        <f t="array" ref="O16">_xlfn.IFS(J16="M", "Medium", J16="L", "Light", J16="D", "Dark", TRUE, "")</f>
        <v>Dark</v>
      </c>
      <c r="P16" t="str">
        <f>_xlfn.XLOOKUP(Table1[[#This Row],[Customer ID]], customers!$A$1:$A$1001, customers!$I$1:$I$1001,, 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INDEX(Product!$A$1:$G$49,MATCH(orders!$D17,Product!$A$1:$A$49,0),MATCH(orders!I$1,Product!$A$1:$G$1,0))</f>
        <v>Rob</v>
      </c>
      <c r="J17" t="str">
        <f>INDEX(Product!$A$1:$G$49,MATCH(orders!$D17,Product!$A$1:$A$49,0),MATCH(orders!J$1,Product!$A$1:$G$1,0))</f>
        <v>M</v>
      </c>
      <c r="K17" s="4">
        <f>INDEX(Product!$A$1:$G$49,MATCH(orders!$D17,Product!$A$1:$A$49,0),MATCH(orders!K$1,Product!$A$1:$G$1,0))</f>
        <v>2.5</v>
      </c>
      <c r="L17" s="5">
        <f>INDEX(Product!$A$1:$G$49,MATCH(orders!$D17,Product!$A$1:$A$49,0),MATCH(orders!L$1,Product!$A$1:$G$1,0))</f>
        <v>22.884999999999998</v>
      </c>
      <c r="M17" s="5">
        <f t="shared" si="0"/>
        <v>114.42499999999998</v>
      </c>
      <c r="N17" t="str" cm="1">
        <f t="array" ref="N17">_xlfn.IFS(I17="Rob", "Robusta", I17="Exc", "Excelsa", I17="Ara", "Arabica", I17="Lib", "Liberica", TRUE, "")</f>
        <v>Robusta</v>
      </c>
      <c r="O17" t="str" cm="1">
        <f t="array" ref="O17">_xlfn.IFS(J17="M", "Medium", J17="L", "Light", J17="D", "Dark", TRUE, "")</f>
        <v>Medium</v>
      </c>
      <c r="P17" t="str">
        <f>_xlfn.XLOOKUP(Table1[[#This Row],[Customer ID]], customers!$A$1:$A$1001, customers!$I$1:$I$1001,, 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INDEX(Product!$A$1:$G$49,MATCH(orders!$D18,Product!$A$1:$A$49,0),MATCH(orders!I$1,Product!$A$1:$G$1,0))</f>
        <v>Ara</v>
      </c>
      <c r="J18" t="str">
        <f>INDEX(Product!$A$1:$G$49,MATCH(orders!$D18,Product!$A$1:$A$49,0),MATCH(orders!J$1,Product!$A$1:$G$1,0))</f>
        <v>M</v>
      </c>
      <c r="K18" s="4">
        <f>INDEX(Product!$A$1:$G$49,MATCH(orders!$D18,Product!$A$1:$A$49,0),MATCH(orders!K$1,Product!$A$1:$G$1,0))</f>
        <v>0.2</v>
      </c>
      <c r="L18" s="5">
        <f>INDEX(Product!$A$1:$G$49,MATCH(orders!$D18,Product!$A$1:$A$49,0),MATCH(orders!L$1,Product!$A$1:$G$1,0))</f>
        <v>3.375</v>
      </c>
      <c r="M18" s="5">
        <f t="shared" si="0"/>
        <v>20.25</v>
      </c>
      <c r="N18" t="str" cm="1">
        <f t="array" ref="N18">_xlfn.IFS(I18="Rob", "Robusta", I18="Exc", "Excelsa", I18="Ara", "Arabica", I18="Lib", "Liberica", TRUE, "")</f>
        <v>Arabica</v>
      </c>
      <c r="O18" t="str" cm="1">
        <f t="array" ref="O18">_xlfn.IFS(J18="M", "Medium", J18="L", "Light", J18="D", "Dark", TRUE, "")</f>
        <v>Medium</v>
      </c>
      <c r="P18" t="str">
        <f>_xlfn.XLOOKUP(Table1[[#This Row],[Customer ID]], customers!$A$1:$A$1001, customers!$I$1:$I$1001,, 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INDEX(Product!$A$1:$G$49,MATCH(orders!$D19,Product!$A$1:$A$49,0),MATCH(orders!I$1,Product!$A$1:$G$1,0))</f>
        <v>Ara</v>
      </c>
      <c r="J19" t="str">
        <f>INDEX(Product!$A$1:$G$49,MATCH(orders!$D19,Product!$A$1:$A$49,0),MATCH(orders!J$1,Product!$A$1:$G$1,0))</f>
        <v>L</v>
      </c>
      <c r="K19" s="4">
        <f>INDEX(Product!$A$1:$G$49,MATCH(orders!$D19,Product!$A$1:$A$49,0),MATCH(orders!K$1,Product!$A$1:$G$1,0))</f>
        <v>1</v>
      </c>
      <c r="L19" s="5">
        <f>INDEX(Product!$A$1:$G$49,MATCH(orders!$D19,Product!$A$1:$A$49,0),MATCH(orders!L$1,Product!$A$1:$G$1,0))</f>
        <v>12.95</v>
      </c>
      <c r="M19" s="5">
        <f t="shared" si="0"/>
        <v>77.699999999999989</v>
      </c>
      <c r="N19" t="str" cm="1">
        <f t="array" ref="N19">_xlfn.IFS(I19="Rob", "Robusta", I19="Exc", "Excelsa", I19="Ara", "Arabica", I19="Lib", "Liberica", TRUE, "")</f>
        <v>Arabica</v>
      </c>
      <c r="O19" t="str" cm="1">
        <f t="array" ref="O19">_xlfn.IFS(J19="M", "Medium", J19="L", "Light", J19="D", "Dark", TRUE, "")</f>
        <v>Light</v>
      </c>
      <c r="P19" t="str">
        <f>_xlfn.XLOOKUP(Table1[[#This Row],[Customer ID]], customers!$A$1:$A$1001, customers!$I$1:$I$1001,, 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INDEX(Product!$A$1:$G$49,MATCH(orders!$D20,Product!$A$1:$A$49,0),MATCH(orders!I$1,Product!$A$1:$G$1,0))</f>
        <v>Rob</v>
      </c>
      <c r="J20" t="str">
        <f>INDEX(Product!$A$1:$G$49,MATCH(orders!$D20,Product!$A$1:$A$49,0),MATCH(orders!J$1,Product!$A$1:$G$1,0))</f>
        <v>D</v>
      </c>
      <c r="K20" s="4">
        <f>INDEX(Product!$A$1:$G$49,MATCH(orders!$D20,Product!$A$1:$A$49,0),MATCH(orders!K$1,Product!$A$1:$G$1,0))</f>
        <v>2.5</v>
      </c>
      <c r="L20" s="5">
        <f>INDEX(Product!$A$1:$G$49,MATCH(orders!$D20,Product!$A$1:$A$49,0),MATCH(orders!L$1,Product!$A$1:$G$1,0))</f>
        <v>20.584999999999997</v>
      </c>
      <c r="M20" s="5">
        <f t="shared" si="0"/>
        <v>82.339999999999989</v>
      </c>
      <c r="N20" t="str" cm="1">
        <f t="array" ref="N20">_xlfn.IFS(I20="Rob", "Robusta", I20="Exc", "Excelsa", I20="Ara", "Arabica", I20="Lib", "Liberica", TRUE, "")</f>
        <v>Robusta</v>
      </c>
      <c r="O20" t="str" cm="1">
        <f t="array" ref="O20">_xlfn.IFS(J20="M", "Medium", J20="L", "Light", J20="D", "Dark", TRUE, "")</f>
        <v>Dark</v>
      </c>
      <c r="P20" t="str">
        <f>_xlfn.XLOOKUP(Table1[[#This Row],[Customer ID]], customers!$A$1:$A$1001, customers!$I$1:$I$1001,, 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INDEX(Product!$A$1:$G$49,MATCH(orders!$D21,Product!$A$1:$A$49,0),MATCH(orders!I$1,Product!$A$1:$G$1,0))</f>
        <v>Ara</v>
      </c>
      <c r="J21" t="str">
        <f>INDEX(Product!$A$1:$G$49,MATCH(orders!$D21,Product!$A$1:$A$49,0),MATCH(orders!J$1,Product!$A$1:$G$1,0))</f>
        <v>M</v>
      </c>
      <c r="K21" s="4">
        <f>INDEX(Product!$A$1:$G$49,MATCH(orders!$D21,Product!$A$1:$A$49,0),MATCH(orders!K$1,Product!$A$1:$G$1,0))</f>
        <v>0.2</v>
      </c>
      <c r="L21" s="5">
        <f>INDEX(Product!$A$1:$G$49,MATCH(orders!$D21,Product!$A$1:$A$49,0),MATCH(orders!L$1,Product!$A$1:$G$1,0))</f>
        <v>3.375</v>
      </c>
      <c r="M21" s="5">
        <f t="shared" si="0"/>
        <v>16.875</v>
      </c>
      <c r="N21" t="str" cm="1">
        <f t="array" ref="N21">_xlfn.IFS(I21="Rob", "Robusta", I21="Exc", "Excelsa", I21="Ara", "Arabica", I21="Lib", "Liberica", TRUE, "")</f>
        <v>Arabica</v>
      </c>
      <c r="O21" t="str" cm="1">
        <f t="array" ref="O21">_xlfn.IFS(J21="M", "Medium", J21="L", "Light", J21="D", "Dark", TRUE, "")</f>
        <v>Medium</v>
      </c>
      <c r="P21" t="str">
        <f>_xlfn.XLOOKUP(Table1[[#This Row],[Customer ID]], customers!$A$1:$A$1001, customers!$I$1:$I$1001,, 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INDEX(Product!$A$1:$G$49,MATCH(orders!$D22,Product!$A$1:$A$49,0),MATCH(orders!I$1,Product!$A$1:$G$1,0))</f>
        <v>Exc</v>
      </c>
      <c r="J22" t="str">
        <f>INDEX(Product!$A$1:$G$49,MATCH(orders!$D22,Product!$A$1:$A$49,0),MATCH(orders!J$1,Product!$A$1:$G$1,0))</f>
        <v>D</v>
      </c>
      <c r="K22" s="4">
        <f>INDEX(Product!$A$1:$G$49,MATCH(orders!$D22,Product!$A$1:$A$49,0),MATCH(orders!K$1,Product!$A$1:$G$1,0))</f>
        <v>0.2</v>
      </c>
      <c r="L22" s="5">
        <f>INDEX(Product!$A$1:$G$49,MATCH(orders!$D22,Product!$A$1:$A$49,0),MATCH(orders!L$1,Product!$A$1:$G$1,0))</f>
        <v>3.645</v>
      </c>
      <c r="M22" s="5">
        <f t="shared" si="0"/>
        <v>14.58</v>
      </c>
      <c r="N22" t="str" cm="1">
        <f t="array" ref="N22">_xlfn.IFS(I22="Rob", "Robusta", I22="Exc", "Excelsa", I22="Ara", "Arabica", I22="Lib", "Liberica", TRUE, "")</f>
        <v>Excelsa</v>
      </c>
      <c r="O22" t="str" cm="1">
        <f t="array" ref="O22">_xlfn.IFS(J22="M", "Medium", J22="L", "Light", J22="D", "Dark", TRUE, "")</f>
        <v>Dark</v>
      </c>
      <c r="P22" t="str">
        <f>_xlfn.XLOOKUP(Table1[[#This Row],[Customer ID]], customers!$A$1:$A$1001, customers!$I$1:$I$1001,, 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INDEX(Product!$A$1:$G$49,MATCH(orders!$D23,Product!$A$1:$A$49,0),MATCH(orders!I$1,Product!$A$1:$G$1,0))</f>
        <v>Ara</v>
      </c>
      <c r="J23" t="str">
        <f>INDEX(Product!$A$1:$G$49,MATCH(orders!$D23,Product!$A$1:$A$49,0),MATCH(orders!J$1,Product!$A$1:$G$1,0))</f>
        <v>D</v>
      </c>
      <c r="K23" s="4">
        <f>INDEX(Product!$A$1:$G$49,MATCH(orders!$D23,Product!$A$1:$A$49,0),MATCH(orders!K$1,Product!$A$1:$G$1,0))</f>
        <v>0.2</v>
      </c>
      <c r="L23" s="5">
        <f>INDEX(Product!$A$1:$G$49,MATCH(orders!$D23,Product!$A$1:$A$49,0),MATCH(orders!L$1,Product!$A$1:$G$1,0))</f>
        <v>2.9849999999999999</v>
      </c>
      <c r="M23" s="5">
        <f t="shared" si="0"/>
        <v>17.91</v>
      </c>
      <c r="N23" t="str" cm="1">
        <f t="array" ref="N23">_xlfn.IFS(I23="Rob", "Robusta", I23="Exc", "Excelsa", I23="Ara", "Arabica", I23="Lib", "Liberica", TRUE, "")</f>
        <v>Arabica</v>
      </c>
      <c r="O23" t="str" cm="1">
        <f t="array" ref="O23">_xlfn.IFS(J23="M", "Medium", J23="L", "Light", J23="D", "Dark", TRUE, "")</f>
        <v>Dark</v>
      </c>
      <c r="P23" t="str">
        <f>_xlfn.XLOOKUP(Table1[[#This Row],[Customer ID]], customers!$A$1:$A$1001, customers!$I$1:$I$1001,, 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INDEX(Product!$A$1:$G$49,MATCH(orders!$D24,Product!$A$1:$A$49,0),MATCH(orders!I$1,Product!$A$1:$G$1,0))</f>
        <v>Rob</v>
      </c>
      <c r="J24" t="str">
        <f>INDEX(Product!$A$1:$G$49,MATCH(orders!$D24,Product!$A$1:$A$49,0),MATCH(orders!J$1,Product!$A$1:$G$1,0))</f>
        <v>M</v>
      </c>
      <c r="K24" s="4">
        <f>INDEX(Product!$A$1:$G$49,MATCH(orders!$D24,Product!$A$1:$A$49,0),MATCH(orders!K$1,Product!$A$1:$G$1,0))</f>
        <v>2.5</v>
      </c>
      <c r="L24" s="5">
        <f>INDEX(Product!$A$1:$G$49,MATCH(orders!$D24,Product!$A$1:$A$49,0),MATCH(orders!L$1,Product!$A$1:$G$1,0))</f>
        <v>22.884999999999998</v>
      </c>
      <c r="M24" s="5">
        <f t="shared" si="0"/>
        <v>91.539999999999992</v>
      </c>
      <c r="N24" t="str" cm="1">
        <f t="array" ref="N24">_xlfn.IFS(I24="Rob", "Robusta", I24="Exc", "Excelsa", I24="Ara", "Arabica", I24="Lib", "Liberica", TRUE, "")</f>
        <v>Robusta</v>
      </c>
      <c r="O24" t="str" cm="1">
        <f t="array" ref="O24">_xlfn.IFS(J24="M", "Medium", J24="L", "Light", J24="D", "Dark", TRUE, "")</f>
        <v>Medium</v>
      </c>
      <c r="P24" t="str">
        <f>_xlfn.XLOOKUP(Table1[[#This Row],[Customer ID]], customers!$A$1:$A$1001, customers!$I$1:$I$1001,, 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INDEX(Product!$A$1:$G$49,MATCH(orders!$D25,Product!$A$1:$A$49,0),MATCH(orders!I$1,Product!$A$1:$G$1,0))</f>
        <v>Ara</v>
      </c>
      <c r="J25" t="str">
        <f>INDEX(Product!$A$1:$G$49,MATCH(orders!$D25,Product!$A$1:$A$49,0),MATCH(orders!J$1,Product!$A$1:$G$1,0))</f>
        <v>D</v>
      </c>
      <c r="K25" s="4">
        <f>INDEX(Product!$A$1:$G$49,MATCH(orders!$D25,Product!$A$1:$A$49,0),MATCH(orders!K$1,Product!$A$1:$G$1,0))</f>
        <v>0.2</v>
      </c>
      <c r="L25" s="5">
        <f>INDEX(Product!$A$1:$G$49,MATCH(orders!$D25,Product!$A$1:$A$49,0),MATCH(orders!L$1,Product!$A$1:$G$1,0))</f>
        <v>2.9849999999999999</v>
      </c>
      <c r="M25" s="5">
        <f t="shared" si="0"/>
        <v>11.94</v>
      </c>
      <c r="N25" t="str" cm="1">
        <f t="array" ref="N25">_xlfn.IFS(I25="Rob", "Robusta", I25="Exc", "Excelsa", I25="Ara", "Arabica", I25="Lib", "Liberica", TRUE, "")</f>
        <v>Arabica</v>
      </c>
      <c r="O25" t="str" cm="1">
        <f t="array" ref="O25">_xlfn.IFS(J25="M", "Medium", J25="L", "Light", J25="D", "Dark", TRUE, "")</f>
        <v>Dark</v>
      </c>
      <c r="P25" t="str">
        <f>_xlfn.XLOOKUP(Table1[[#This Row],[Customer ID]], customers!$A$1:$A$1001, customers!$I$1:$I$1001,, 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INDEX(Product!$A$1:$G$49,MATCH(orders!$D26,Product!$A$1:$A$49,0),MATCH(orders!I$1,Product!$A$1:$G$1,0))</f>
        <v>Ara</v>
      </c>
      <c r="J26" t="str">
        <f>INDEX(Product!$A$1:$G$49,MATCH(orders!$D26,Product!$A$1:$A$49,0),MATCH(orders!J$1,Product!$A$1:$G$1,0))</f>
        <v>M</v>
      </c>
      <c r="K26" s="4">
        <f>INDEX(Product!$A$1:$G$49,MATCH(orders!$D26,Product!$A$1:$A$49,0),MATCH(orders!K$1,Product!$A$1:$G$1,0))</f>
        <v>1</v>
      </c>
      <c r="L26" s="5">
        <f>INDEX(Product!$A$1:$G$49,MATCH(orders!$D26,Product!$A$1:$A$49,0),MATCH(orders!L$1,Product!$A$1:$G$1,0))</f>
        <v>11.25</v>
      </c>
      <c r="M26" s="5">
        <f t="shared" si="0"/>
        <v>11.25</v>
      </c>
      <c r="N26" t="str" cm="1">
        <f t="array" ref="N26">_xlfn.IFS(I26="Rob", "Robusta", I26="Exc", "Excelsa", I26="Ara", "Arabica", I26="Lib", "Liberica", TRUE, "")</f>
        <v>Arabica</v>
      </c>
      <c r="O26" t="str" cm="1">
        <f t="array" ref="O26">_xlfn.IFS(J26="M", "Medium", J26="L", "Light", J26="D", "Dark", TRUE, "")</f>
        <v>Medium</v>
      </c>
      <c r="P26" t="str">
        <f>_xlfn.XLOOKUP(Table1[[#This Row],[Customer ID]], customers!$A$1:$A$1001, customers!$I$1:$I$1001,, 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INDEX(Product!$A$1:$G$49,MATCH(orders!$D27,Product!$A$1:$A$49,0),MATCH(orders!I$1,Product!$A$1:$G$1,0))</f>
        <v>Exc</v>
      </c>
      <c r="J27" t="str">
        <f>INDEX(Product!$A$1:$G$49,MATCH(orders!$D27,Product!$A$1:$A$49,0),MATCH(orders!J$1,Product!$A$1:$G$1,0))</f>
        <v>M</v>
      </c>
      <c r="K27" s="4">
        <f>INDEX(Product!$A$1:$G$49,MATCH(orders!$D27,Product!$A$1:$A$49,0),MATCH(orders!K$1,Product!$A$1:$G$1,0))</f>
        <v>0.2</v>
      </c>
      <c r="L27" s="5">
        <f>INDEX(Product!$A$1:$G$49,MATCH(orders!$D27,Product!$A$1:$A$49,0),MATCH(orders!L$1,Product!$A$1:$G$1,0))</f>
        <v>4.125</v>
      </c>
      <c r="M27" s="5">
        <f t="shared" si="0"/>
        <v>12.375</v>
      </c>
      <c r="N27" t="str" cm="1">
        <f t="array" ref="N27">_xlfn.IFS(I27="Rob", "Robusta", I27="Exc", "Excelsa", I27="Ara", "Arabica", I27="Lib", "Liberica", TRUE, "")</f>
        <v>Excelsa</v>
      </c>
      <c r="O27" t="str" cm="1">
        <f t="array" ref="O27">_xlfn.IFS(J27="M", "Medium", J27="L", "Light", J27="D", "Dark", TRUE, "")</f>
        <v>Medium</v>
      </c>
      <c r="P27" t="str">
        <f>_xlfn.XLOOKUP(Table1[[#This Row],[Customer ID]], customers!$A$1:$A$1001, customers!$I$1:$I$1001,, 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INDEX(Product!$A$1:$G$49,MATCH(orders!$D28,Product!$A$1:$A$49,0),MATCH(orders!I$1,Product!$A$1:$G$1,0))</f>
        <v>Ara</v>
      </c>
      <c r="J28" t="str">
        <f>INDEX(Product!$A$1:$G$49,MATCH(orders!$D28,Product!$A$1:$A$49,0),MATCH(orders!J$1,Product!$A$1:$G$1,0))</f>
        <v>M</v>
      </c>
      <c r="K28" s="4">
        <f>INDEX(Product!$A$1:$G$49,MATCH(orders!$D28,Product!$A$1:$A$49,0),MATCH(orders!K$1,Product!$A$1:$G$1,0))</f>
        <v>0.5</v>
      </c>
      <c r="L28" s="5">
        <f>INDEX(Product!$A$1:$G$49,MATCH(orders!$D28,Product!$A$1:$A$49,0),MATCH(orders!L$1,Product!$A$1:$G$1,0))</f>
        <v>6.75</v>
      </c>
      <c r="M28" s="5">
        <f t="shared" si="0"/>
        <v>27</v>
      </c>
      <c r="N28" t="str" cm="1">
        <f t="array" ref="N28">_xlfn.IFS(I28="Rob", "Robusta", I28="Exc", "Excelsa", I28="Ara", "Arabica", I28="Lib", "Liberica", TRUE, "")</f>
        <v>Arabica</v>
      </c>
      <c r="O28" t="str" cm="1">
        <f t="array" ref="O28">_xlfn.IFS(J28="M", "Medium", J28="L", "Light", J28="D", "Dark", TRUE, "")</f>
        <v>Medium</v>
      </c>
      <c r="P28" t="str">
        <f>_xlfn.XLOOKUP(Table1[[#This Row],[Customer ID]], customers!$A$1:$A$1001, customers!$I$1:$I$1001,, 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INDEX(Product!$A$1:$G$49,MATCH(orders!$D29,Product!$A$1:$A$49,0),MATCH(orders!I$1,Product!$A$1:$G$1,0))</f>
        <v>Ara</v>
      </c>
      <c r="J29" t="str">
        <f>INDEX(Product!$A$1:$G$49,MATCH(orders!$D29,Product!$A$1:$A$49,0),MATCH(orders!J$1,Product!$A$1:$G$1,0))</f>
        <v>M</v>
      </c>
      <c r="K29" s="4">
        <f>INDEX(Product!$A$1:$G$49,MATCH(orders!$D29,Product!$A$1:$A$49,0),MATCH(orders!K$1,Product!$A$1:$G$1,0))</f>
        <v>0.2</v>
      </c>
      <c r="L29" s="5">
        <f>INDEX(Product!$A$1:$G$49,MATCH(orders!$D29,Product!$A$1:$A$49,0),MATCH(orders!L$1,Product!$A$1:$G$1,0))</f>
        <v>3.375</v>
      </c>
      <c r="M29" s="5">
        <f t="shared" si="0"/>
        <v>16.875</v>
      </c>
      <c r="N29" t="str" cm="1">
        <f t="array" ref="N29">_xlfn.IFS(I29="Rob", "Robusta", I29="Exc", "Excelsa", I29="Ara", "Arabica", I29="Lib", "Liberica", TRUE, "")</f>
        <v>Arabica</v>
      </c>
      <c r="O29" t="str" cm="1">
        <f t="array" ref="O29">_xlfn.IFS(J29="M", "Medium", J29="L", "Light", J29="D", "Dark", TRUE, "")</f>
        <v>Medium</v>
      </c>
      <c r="P29" t="str">
        <f>_xlfn.XLOOKUP(Table1[[#This Row],[Customer ID]], customers!$A$1:$A$1001, customers!$I$1:$I$1001,, 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INDEX(Product!$A$1:$G$49,MATCH(orders!$D30,Product!$A$1:$A$49,0),MATCH(orders!I$1,Product!$A$1:$G$1,0))</f>
        <v>Ara</v>
      </c>
      <c r="J30" t="str">
        <f>INDEX(Product!$A$1:$G$49,MATCH(orders!$D30,Product!$A$1:$A$49,0),MATCH(orders!J$1,Product!$A$1:$G$1,0))</f>
        <v>D</v>
      </c>
      <c r="K30" s="4">
        <f>INDEX(Product!$A$1:$G$49,MATCH(orders!$D30,Product!$A$1:$A$49,0),MATCH(orders!K$1,Product!$A$1:$G$1,0))</f>
        <v>0.5</v>
      </c>
      <c r="L30" s="5">
        <f>INDEX(Product!$A$1:$G$49,MATCH(orders!$D30,Product!$A$1:$A$49,0),MATCH(orders!L$1,Product!$A$1:$G$1,0))</f>
        <v>5.97</v>
      </c>
      <c r="M30" s="5">
        <f t="shared" si="0"/>
        <v>17.91</v>
      </c>
      <c r="N30" t="str" cm="1">
        <f t="array" ref="N30">_xlfn.IFS(I30="Rob", "Robusta", I30="Exc", "Excelsa", I30="Ara", "Arabica", I30="Lib", "Liberica", TRUE, "")</f>
        <v>Arabica</v>
      </c>
      <c r="O30" t="str" cm="1">
        <f t="array" ref="O30">_xlfn.IFS(J30="M", "Medium", J30="L", "Light", J30="D", "Dark", TRUE, "")</f>
        <v>Dark</v>
      </c>
      <c r="P30" t="str">
        <f>_xlfn.XLOOKUP(Table1[[#This Row],[Customer ID]], customers!$A$1:$A$1001, customers!$I$1:$I$1001,, 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INDEX(Product!$A$1:$G$49,MATCH(orders!$D31,Product!$A$1:$A$49,0),MATCH(orders!I$1,Product!$A$1:$G$1,0))</f>
        <v>Ara</v>
      </c>
      <c r="J31" t="str">
        <f>INDEX(Product!$A$1:$G$49,MATCH(orders!$D31,Product!$A$1:$A$49,0),MATCH(orders!J$1,Product!$A$1:$G$1,0))</f>
        <v>D</v>
      </c>
      <c r="K31" s="4">
        <f>INDEX(Product!$A$1:$G$49,MATCH(orders!$D31,Product!$A$1:$A$49,0),MATCH(orders!K$1,Product!$A$1:$G$1,0))</f>
        <v>1</v>
      </c>
      <c r="L31" s="5">
        <f>INDEX(Product!$A$1:$G$49,MATCH(orders!$D31,Product!$A$1:$A$49,0),MATCH(orders!L$1,Product!$A$1:$G$1,0))</f>
        <v>9.9499999999999993</v>
      </c>
      <c r="M31" s="5">
        <f t="shared" si="0"/>
        <v>39.799999999999997</v>
      </c>
      <c r="N31" t="str" cm="1">
        <f t="array" ref="N31">_xlfn.IFS(I31="Rob", "Robusta", I31="Exc", "Excelsa", I31="Ara", "Arabica", I31="Lib", "Liberica", TRUE, "")</f>
        <v>Arabica</v>
      </c>
      <c r="O31" t="str" cm="1">
        <f t="array" ref="O31">_xlfn.IFS(J31="M", "Medium", J31="L", "Light", J31="D", "Dark", TRUE, "")</f>
        <v>Dark</v>
      </c>
      <c r="P31" t="str">
        <f>_xlfn.XLOOKUP(Table1[[#This Row],[Customer ID]], customers!$A$1:$A$1001, customers!$I$1:$I$1001,, 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INDEX(Product!$A$1:$G$49,MATCH(orders!$D32,Product!$A$1:$A$49,0),MATCH(orders!I$1,Product!$A$1:$G$1,0))</f>
        <v>Lib</v>
      </c>
      <c r="J32" t="str">
        <f>INDEX(Product!$A$1:$G$49,MATCH(orders!$D32,Product!$A$1:$A$49,0),MATCH(orders!J$1,Product!$A$1:$G$1,0))</f>
        <v>M</v>
      </c>
      <c r="K32" s="4">
        <f>INDEX(Product!$A$1:$G$49,MATCH(orders!$D32,Product!$A$1:$A$49,0),MATCH(orders!K$1,Product!$A$1:$G$1,0))</f>
        <v>0.2</v>
      </c>
      <c r="L32" s="5">
        <f>INDEX(Product!$A$1:$G$49,MATCH(orders!$D32,Product!$A$1:$A$49,0),MATCH(orders!L$1,Product!$A$1:$G$1,0))</f>
        <v>4.3650000000000002</v>
      </c>
      <c r="M32" s="5">
        <f t="shared" si="0"/>
        <v>21.825000000000003</v>
      </c>
      <c r="N32" t="str" cm="1">
        <f t="array" ref="N32">_xlfn.IFS(I32="Rob", "Robusta", I32="Exc", "Excelsa", I32="Ara", "Arabica", I32="Lib", "Liberica", TRUE, "")</f>
        <v>Liberica</v>
      </c>
      <c r="O32" t="str" cm="1">
        <f t="array" ref="O32">_xlfn.IFS(J32="M", "Medium", J32="L", "Light", J32="D", "Dark", TRUE, "")</f>
        <v>Medium</v>
      </c>
      <c r="P32" t="str">
        <f>_xlfn.XLOOKUP(Table1[[#This Row],[Customer ID]], customers!$A$1:$A$1001, customers!$I$1:$I$1001,, 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INDEX(Product!$A$1:$G$49,MATCH(orders!$D33,Product!$A$1:$A$49,0),MATCH(orders!I$1,Product!$A$1:$G$1,0))</f>
        <v>Ara</v>
      </c>
      <c r="J33" t="str">
        <f>INDEX(Product!$A$1:$G$49,MATCH(orders!$D33,Product!$A$1:$A$49,0),MATCH(orders!J$1,Product!$A$1:$G$1,0))</f>
        <v>D</v>
      </c>
      <c r="K33" s="4">
        <f>INDEX(Product!$A$1:$G$49,MATCH(orders!$D33,Product!$A$1:$A$49,0),MATCH(orders!K$1,Product!$A$1:$G$1,0))</f>
        <v>0.5</v>
      </c>
      <c r="L33" s="5">
        <f>INDEX(Product!$A$1:$G$49,MATCH(orders!$D33,Product!$A$1:$A$49,0),MATCH(orders!L$1,Product!$A$1:$G$1,0))</f>
        <v>5.97</v>
      </c>
      <c r="M33" s="5">
        <f t="shared" si="0"/>
        <v>35.82</v>
      </c>
      <c r="N33" t="str" cm="1">
        <f t="array" ref="N33">_xlfn.IFS(I33="Rob", "Robusta", I33="Exc", "Excelsa", I33="Ara", "Arabica", I33="Lib", "Liberica", TRUE, "")</f>
        <v>Arabica</v>
      </c>
      <c r="O33" t="str" cm="1">
        <f t="array" ref="O33">_xlfn.IFS(J33="M", "Medium", J33="L", "Light", J33="D", "Dark", TRUE, "")</f>
        <v>Dark</v>
      </c>
      <c r="P33" t="str">
        <f>_xlfn.XLOOKUP(Table1[[#This Row],[Customer ID]], customers!$A$1:$A$1001, customers!$I$1:$I$1001,, 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INDEX(Product!$A$1:$G$49,MATCH(orders!$D34,Product!$A$1:$A$49,0),MATCH(orders!I$1,Product!$A$1:$G$1,0))</f>
        <v>Lib</v>
      </c>
      <c r="J34" t="str">
        <f>INDEX(Product!$A$1:$G$49,MATCH(orders!$D34,Product!$A$1:$A$49,0),MATCH(orders!J$1,Product!$A$1:$G$1,0))</f>
        <v>M</v>
      </c>
      <c r="K34" s="4">
        <f>INDEX(Product!$A$1:$G$49,MATCH(orders!$D34,Product!$A$1:$A$49,0),MATCH(orders!K$1,Product!$A$1:$G$1,0))</f>
        <v>0.5</v>
      </c>
      <c r="L34" s="5">
        <f>INDEX(Product!$A$1:$G$49,MATCH(orders!$D34,Product!$A$1:$A$49,0),MATCH(orders!L$1,Product!$A$1:$G$1,0))</f>
        <v>8.73</v>
      </c>
      <c r="M34" s="5">
        <f t="shared" si="0"/>
        <v>52.38</v>
      </c>
      <c r="N34" t="str" cm="1">
        <f t="array" ref="N34">_xlfn.IFS(I34="Rob", "Robusta", I34="Exc", "Excelsa", I34="Ara", "Arabica", I34="Lib", "Liberica", TRUE, "")</f>
        <v>Liberica</v>
      </c>
      <c r="O34" t="str" cm="1">
        <f t="array" ref="O34">_xlfn.IFS(J34="M", "Medium", J34="L", "Light", J34="D", "Dark", TRUE, "")</f>
        <v>Medium</v>
      </c>
      <c r="P34" t="str">
        <f>_xlfn.XLOOKUP(Table1[[#This Row],[Customer ID]], customers!$A$1:$A$1001, customers!$I$1:$I$1001,, 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INDEX(Product!$A$1:$G$49,MATCH(orders!$D35,Product!$A$1:$A$49,0),MATCH(orders!I$1,Product!$A$1:$G$1,0))</f>
        <v>Lib</v>
      </c>
      <c r="J35" t="str">
        <f>INDEX(Product!$A$1:$G$49,MATCH(orders!$D35,Product!$A$1:$A$49,0),MATCH(orders!J$1,Product!$A$1:$G$1,0))</f>
        <v>L</v>
      </c>
      <c r="K35" s="4">
        <f>INDEX(Product!$A$1:$G$49,MATCH(orders!$D35,Product!$A$1:$A$49,0),MATCH(orders!K$1,Product!$A$1:$G$1,0))</f>
        <v>0.2</v>
      </c>
      <c r="L35" s="5">
        <f>INDEX(Product!$A$1:$G$49,MATCH(orders!$D35,Product!$A$1:$A$49,0),MATCH(orders!L$1,Product!$A$1:$G$1,0))</f>
        <v>4.7549999999999999</v>
      </c>
      <c r="M35" s="5">
        <f t="shared" si="0"/>
        <v>23.774999999999999</v>
      </c>
      <c r="N35" t="str" cm="1">
        <f t="array" ref="N35">_xlfn.IFS(I35="Rob", "Robusta", I35="Exc", "Excelsa", I35="Ara", "Arabica", I35="Lib", "Liberica", TRUE, "")</f>
        <v>Liberica</v>
      </c>
      <c r="O35" t="str" cm="1">
        <f t="array" ref="O35">_xlfn.IFS(J35="M", "Medium", J35="L", "Light", J35="D", "Dark", TRUE, "")</f>
        <v>Light</v>
      </c>
      <c r="P35" t="str">
        <f>_xlfn.XLOOKUP(Table1[[#This Row],[Customer ID]], customers!$A$1:$A$1001, customers!$I$1:$I$1001,, 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INDEX(Product!$A$1:$G$49,MATCH(orders!$D36,Product!$A$1:$A$49,0),MATCH(orders!I$1,Product!$A$1:$G$1,0))</f>
        <v>Lib</v>
      </c>
      <c r="J36" t="str">
        <f>INDEX(Product!$A$1:$G$49,MATCH(orders!$D36,Product!$A$1:$A$49,0),MATCH(orders!J$1,Product!$A$1:$G$1,0))</f>
        <v>L</v>
      </c>
      <c r="K36" s="4">
        <f>INDEX(Product!$A$1:$G$49,MATCH(orders!$D36,Product!$A$1:$A$49,0),MATCH(orders!K$1,Product!$A$1:$G$1,0))</f>
        <v>0.5</v>
      </c>
      <c r="L36" s="5">
        <f>INDEX(Product!$A$1:$G$49,MATCH(orders!$D36,Product!$A$1:$A$49,0),MATCH(orders!L$1,Product!$A$1:$G$1,0))</f>
        <v>9.51</v>
      </c>
      <c r="M36" s="5">
        <f t="shared" si="0"/>
        <v>57.06</v>
      </c>
      <c r="N36" t="str" cm="1">
        <f t="array" ref="N36">_xlfn.IFS(I36="Rob", "Robusta", I36="Exc", "Excelsa", I36="Ara", "Arabica", I36="Lib", "Liberica", TRUE, "")</f>
        <v>Liberica</v>
      </c>
      <c r="O36" t="str" cm="1">
        <f t="array" ref="O36">_xlfn.IFS(J36="M", "Medium", J36="L", "Light", J36="D", "Dark", TRUE, "")</f>
        <v>Light</v>
      </c>
      <c r="P36" t="str">
        <f>_xlfn.XLOOKUP(Table1[[#This Row],[Customer ID]], customers!$A$1:$A$1001, customers!$I$1:$I$1001,, 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INDEX(Product!$A$1:$G$49,MATCH(orders!$D37,Product!$A$1:$A$49,0),MATCH(orders!I$1,Product!$A$1:$G$1,0))</f>
        <v>Ara</v>
      </c>
      <c r="J37" t="str">
        <f>INDEX(Product!$A$1:$G$49,MATCH(orders!$D37,Product!$A$1:$A$49,0),MATCH(orders!J$1,Product!$A$1:$G$1,0))</f>
        <v>D</v>
      </c>
      <c r="K37" s="4">
        <f>INDEX(Product!$A$1:$G$49,MATCH(orders!$D37,Product!$A$1:$A$49,0),MATCH(orders!K$1,Product!$A$1:$G$1,0))</f>
        <v>0.5</v>
      </c>
      <c r="L37" s="5">
        <f>INDEX(Product!$A$1:$G$49,MATCH(orders!$D37,Product!$A$1:$A$49,0),MATCH(orders!L$1,Product!$A$1:$G$1,0))</f>
        <v>5.97</v>
      </c>
      <c r="M37" s="5">
        <f t="shared" si="0"/>
        <v>35.82</v>
      </c>
      <c r="N37" t="str" cm="1">
        <f t="array" ref="N37">_xlfn.IFS(I37="Rob", "Robusta", I37="Exc", "Excelsa", I37="Ara", "Arabica", I37="Lib", "Liberica", TRUE, "")</f>
        <v>Arabica</v>
      </c>
      <c r="O37" t="str" cm="1">
        <f t="array" ref="O37">_xlfn.IFS(J37="M", "Medium", J37="L", "Light", J37="D", "Dark", TRUE, "")</f>
        <v>Dark</v>
      </c>
      <c r="P37" t="str">
        <f>_xlfn.XLOOKUP(Table1[[#This Row],[Customer ID]], customers!$A$1:$A$1001, customers!$I$1:$I$1001,, 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INDEX(Product!$A$1:$G$49,MATCH(orders!$D38,Product!$A$1:$A$49,0),MATCH(orders!I$1,Product!$A$1:$G$1,0))</f>
        <v>Lib</v>
      </c>
      <c r="J38" t="str">
        <f>INDEX(Product!$A$1:$G$49,MATCH(orders!$D38,Product!$A$1:$A$49,0),MATCH(orders!J$1,Product!$A$1:$G$1,0))</f>
        <v>M</v>
      </c>
      <c r="K38" s="4">
        <f>INDEX(Product!$A$1:$G$49,MATCH(orders!$D38,Product!$A$1:$A$49,0),MATCH(orders!K$1,Product!$A$1:$G$1,0))</f>
        <v>0.2</v>
      </c>
      <c r="L38" s="5">
        <f>INDEX(Product!$A$1:$G$49,MATCH(orders!$D38,Product!$A$1:$A$49,0),MATCH(orders!L$1,Product!$A$1:$G$1,0))</f>
        <v>4.3650000000000002</v>
      </c>
      <c r="M38" s="5">
        <f t="shared" si="0"/>
        <v>8.73</v>
      </c>
      <c r="N38" t="str" cm="1">
        <f t="array" ref="N38">_xlfn.IFS(I38="Rob", "Robusta", I38="Exc", "Excelsa", I38="Ara", "Arabica", I38="Lib", "Liberica", TRUE, "")</f>
        <v>Liberica</v>
      </c>
      <c r="O38" t="str" cm="1">
        <f t="array" ref="O38">_xlfn.IFS(J38="M", "Medium", J38="L", "Light", J38="D", "Dark", TRUE, "")</f>
        <v>Medium</v>
      </c>
      <c r="P38" t="str">
        <f>_xlfn.XLOOKUP(Table1[[#This Row],[Customer ID]], customers!$A$1:$A$1001, customers!$I$1:$I$1001,, 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INDEX(Product!$A$1:$G$49,MATCH(orders!$D39,Product!$A$1:$A$49,0),MATCH(orders!I$1,Product!$A$1:$G$1,0))</f>
        <v>Lib</v>
      </c>
      <c r="J39" t="str">
        <f>INDEX(Product!$A$1:$G$49,MATCH(orders!$D39,Product!$A$1:$A$49,0),MATCH(orders!J$1,Product!$A$1:$G$1,0))</f>
        <v>L</v>
      </c>
      <c r="K39" s="4">
        <f>INDEX(Product!$A$1:$G$49,MATCH(orders!$D39,Product!$A$1:$A$49,0),MATCH(orders!K$1,Product!$A$1:$G$1,0))</f>
        <v>0.5</v>
      </c>
      <c r="L39" s="5">
        <f>INDEX(Product!$A$1:$G$49,MATCH(orders!$D39,Product!$A$1:$A$49,0),MATCH(orders!L$1,Product!$A$1:$G$1,0))</f>
        <v>9.51</v>
      </c>
      <c r="M39" s="5">
        <f t="shared" si="0"/>
        <v>28.53</v>
      </c>
      <c r="N39" t="str" cm="1">
        <f t="array" ref="N39">_xlfn.IFS(I39="Rob", "Robusta", I39="Exc", "Excelsa", I39="Ara", "Arabica", I39="Lib", "Liberica", TRUE, "")</f>
        <v>Liberica</v>
      </c>
      <c r="O39" t="str" cm="1">
        <f t="array" ref="O39">_xlfn.IFS(J39="M", "Medium", J39="L", "Light", J39="D", "Dark", TRUE, "")</f>
        <v>Light</v>
      </c>
      <c r="P39" t="str">
        <f>_xlfn.XLOOKUP(Table1[[#This Row],[Customer ID]], customers!$A$1:$A$1001, customers!$I$1:$I$1001,, 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INDEX(Product!$A$1:$G$49,MATCH(orders!$D40,Product!$A$1:$A$49,0),MATCH(orders!I$1,Product!$A$1:$G$1,0))</f>
        <v>Rob</v>
      </c>
      <c r="J40" t="str">
        <f>INDEX(Product!$A$1:$G$49,MATCH(orders!$D40,Product!$A$1:$A$49,0),MATCH(orders!J$1,Product!$A$1:$G$1,0))</f>
        <v>M</v>
      </c>
      <c r="K40" s="4">
        <f>INDEX(Product!$A$1:$G$49,MATCH(orders!$D40,Product!$A$1:$A$49,0),MATCH(orders!K$1,Product!$A$1:$G$1,0))</f>
        <v>2.5</v>
      </c>
      <c r="L40" s="5">
        <f>INDEX(Product!$A$1:$G$49,MATCH(orders!$D40,Product!$A$1:$A$49,0),MATCH(orders!L$1,Product!$A$1:$G$1,0))</f>
        <v>22.884999999999998</v>
      </c>
      <c r="M40" s="5">
        <f t="shared" si="0"/>
        <v>114.42499999999998</v>
      </c>
      <c r="N40" t="str" cm="1">
        <f t="array" ref="N40">_xlfn.IFS(I40="Rob", "Robusta", I40="Exc", "Excelsa", I40="Ara", "Arabica", I40="Lib", "Liberica", TRUE, "")</f>
        <v>Robusta</v>
      </c>
      <c r="O40" t="str" cm="1">
        <f t="array" ref="O40">_xlfn.IFS(J40="M", "Medium", J40="L", "Light", J40="D", "Dark", TRUE, "")</f>
        <v>Medium</v>
      </c>
      <c r="P40" t="str">
        <f>_xlfn.XLOOKUP(Table1[[#This Row],[Customer ID]], customers!$A$1:$A$1001, customers!$I$1:$I$1001,, 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INDEX(Product!$A$1:$G$49,MATCH(orders!$D41,Product!$A$1:$A$49,0),MATCH(orders!I$1,Product!$A$1:$G$1,0))</f>
        <v>Rob</v>
      </c>
      <c r="J41" t="str">
        <f>INDEX(Product!$A$1:$G$49,MATCH(orders!$D41,Product!$A$1:$A$49,0),MATCH(orders!J$1,Product!$A$1:$G$1,0))</f>
        <v>M</v>
      </c>
      <c r="K41" s="4">
        <f>INDEX(Product!$A$1:$G$49,MATCH(orders!$D41,Product!$A$1:$A$49,0),MATCH(orders!K$1,Product!$A$1:$G$1,0))</f>
        <v>1</v>
      </c>
      <c r="L41" s="5">
        <f>INDEX(Product!$A$1:$G$49,MATCH(orders!$D41,Product!$A$1:$A$49,0),MATCH(orders!L$1,Product!$A$1:$G$1,0))</f>
        <v>9.9499999999999993</v>
      </c>
      <c r="M41" s="5">
        <f t="shared" si="0"/>
        <v>59.699999999999996</v>
      </c>
      <c r="N41" t="str" cm="1">
        <f t="array" ref="N41">_xlfn.IFS(I41="Rob", "Robusta", I41="Exc", "Excelsa", I41="Ara", "Arabica", I41="Lib", "Liberica", TRUE, "")</f>
        <v>Robusta</v>
      </c>
      <c r="O41" t="str" cm="1">
        <f t="array" ref="O41">_xlfn.IFS(J41="M", "Medium", J41="L", "Light", J41="D", "Dark", TRUE, "")</f>
        <v>Medium</v>
      </c>
      <c r="P41" t="str">
        <f>_xlfn.XLOOKUP(Table1[[#This Row],[Customer ID]], customers!$A$1:$A$1001, customers!$I$1:$I$1001,, 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INDEX(Product!$A$1:$G$49,MATCH(orders!$D42,Product!$A$1:$A$49,0),MATCH(orders!I$1,Product!$A$1:$G$1,0))</f>
        <v>Lib</v>
      </c>
      <c r="J42" t="str">
        <f>INDEX(Product!$A$1:$G$49,MATCH(orders!$D42,Product!$A$1:$A$49,0),MATCH(orders!J$1,Product!$A$1:$G$1,0))</f>
        <v>M</v>
      </c>
      <c r="K42" s="4">
        <f>INDEX(Product!$A$1:$G$49,MATCH(orders!$D42,Product!$A$1:$A$49,0),MATCH(orders!K$1,Product!$A$1:$G$1,0))</f>
        <v>1</v>
      </c>
      <c r="L42" s="5">
        <f>INDEX(Product!$A$1:$G$49,MATCH(orders!$D42,Product!$A$1:$A$49,0),MATCH(orders!L$1,Product!$A$1:$G$1,0))</f>
        <v>14.55</v>
      </c>
      <c r="M42" s="5">
        <f t="shared" si="0"/>
        <v>43.650000000000006</v>
      </c>
      <c r="N42" t="str" cm="1">
        <f t="array" ref="N42">_xlfn.IFS(I42="Rob", "Robusta", I42="Exc", "Excelsa", I42="Ara", "Arabica", I42="Lib", "Liberica", TRUE, "")</f>
        <v>Liberica</v>
      </c>
      <c r="O42" t="str" cm="1">
        <f t="array" ref="O42">_xlfn.IFS(J42="M", "Medium", J42="L", "Light", J42="D", "Dark", TRUE, "")</f>
        <v>Medium</v>
      </c>
      <c r="P42" t="str">
        <f>_xlfn.XLOOKUP(Table1[[#This Row],[Customer ID]], customers!$A$1:$A$1001, customers!$I$1:$I$1001,, 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INDEX(Product!$A$1:$G$49,MATCH(orders!$D43,Product!$A$1:$A$49,0),MATCH(orders!I$1,Product!$A$1:$G$1,0))</f>
        <v>Exc</v>
      </c>
      <c r="J43" t="str">
        <f>INDEX(Product!$A$1:$G$49,MATCH(orders!$D43,Product!$A$1:$A$49,0),MATCH(orders!J$1,Product!$A$1:$G$1,0))</f>
        <v>D</v>
      </c>
      <c r="K43" s="4">
        <f>INDEX(Product!$A$1:$G$49,MATCH(orders!$D43,Product!$A$1:$A$49,0),MATCH(orders!K$1,Product!$A$1:$G$1,0))</f>
        <v>0.2</v>
      </c>
      <c r="L43" s="5">
        <f>INDEX(Product!$A$1:$G$49,MATCH(orders!$D43,Product!$A$1:$A$49,0),MATCH(orders!L$1,Product!$A$1:$G$1,0))</f>
        <v>3.645</v>
      </c>
      <c r="M43" s="5">
        <f t="shared" si="0"/>
        <v>7.29</v>
      </c>
      <c r="N43" t="str" cm="1">
        <f t="array" ref="N43">_xlfn.IFS(I43="Rob", "Robusta", I43="Exc", "Excelsa", I43="Ara", "Arabica", I43="Lib", "Liberica", TRUE, "")</f>
        <v>Excelsa</v>
      </c>
      <c r="O43" t="str" cm="1">
        <f t="array" ref="O43">_xlfn.IFS(J43="M", "Medium", J43="L", "Light", J43="D", "Dark", TRUE, "")</f>
        <v>Dark</v>
      </c>
      <c r="P43" t="str">
        <f>_xlfn.XLOOKUP(Table1[[#This Row],[Customer ID]], customers!$A$1:$A$1001, customers!$I$1:$I$1001,, 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INDEX(Product!$A$1:$G$49,MATCH(orders!$D44,Product!$A$1:$A$49,0),MATCH(orders!I$1,Product!$A$1:$G$1,0))</f>
        <v>Rob</v>
      </c>
      <c r="J44" t="str">
        <f>INDEX(Product!$A$1:$G$49,MATCH(orders!$D44,Product!$A$1:$A$49,0),MATCH(orders!J$1,Product!$A$1:$G$1,0))</f>
        <v>D</v>
      </c>
      <c r="K44" s="4">
        <f>INDEX(Product!$A$1:$G$49,MATCH(orders!$D44,Product!$A$1:$A$49,0),MATCH(orders!K$1,Product!$A$1:$G$1,0))</f>
        <v>0.2</v>
      </c>
      <c r="L44" s="5">
        <f>INDEX(Product!$A$1:$G$49,MATCH(orders!$D44,Product!$A$1:$A$49,0),MATCH(orders!L$1,Product!$A$1:$G$1,0))</f>
        <v>2.6849999999999996</v>
      </c>
      <c r="M44" s="5">
        <f t="shared" si="0"/>
        <v>8.0549999999999997</v>
      </c>
      <c r="N44" t="str" cm="1">
        <f t="array" ref="N44">_xlfn.IFS(I44="Rob", "Robusta", I44="Exc", "Excelsa", I44="Ara", "Arabica", I44="Lib", "Liberica", TRUE, "")</f>
        <v>Robusta</v>
      </c>
      <c r="O44" t="str" cm="1">
        <f t="array" ref="O44">_xlfn.IFS(J44="M", "Medium", J44="L", "Light", J44="D", "Dark", TRUE, "")</f>
        <v>Dark</v>
      </c>
      <c r="P44" t="str">
        <f>_xlfn.XLOOKUP(Table1[[#This Row],[Customer ID]], customers!$A$1:$A$1001, customers!$I$1:$I$1001,, 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INDEX(Product!$A$1:$G$49,MATCH(orders!$D45,Product!$A$1:$A$49,0),MATCH(orders!I$1,Product!$A$1:$G$1,0))</f>
        <v>Lib</v>
      </c>
      <c r="J45" t="str">
        <f>INDEX(Product!$A$1:$G$49,MATCH(orders!$D45,Product!$A$1:$A$49,0),MATCH(orders!J$1,Product!$A$1:$G$1,0))</f>
        <v>L</v>
      </c>
      <c r="K45" s="4">
        <f>INDEX(Product!$A$1:$G$49,MATCH(orders!$D45,Product!$A$1:$A$49,0),MATCH(orders!K$1,Product!$A$1:$G$1,0))</f>
        <v>2.5</v>
      </c>
      <c r="L45" s="5">
        <f>INDEX(Product!$A$1:$G$49,MATCH(orders!$D45,Product!$A$1:$A$49,0),MATCH(orders!L$1,Product!$A$1:$G$1,0))</f>
        <v>36.454999999999998</v>
      </c>
      <c r="M45" s="5">
        <f t="shared" si="0"/>
        <v>72.91</v>
      </c>
      <c r="N45" t="str" cm="1">
        <f t="array" ref="N45">_xlfn.IFS(I45="Rob", "Robusta", I45="Exc", "Excelsa", I45="Ara", "Arabica", I45="Lib", "Liberica", TRUE, "")</f>
        <v>Liberica</v>
      </c>
      <c r="O45" t="str" cm="1">
        <f t="array" ref="O45">_xlfn.IFS(J45="M", "Medium", J45="L", "Light", J45="D", "Dark", TRUE, "")</f>
        <v>Light</v>
      </c>
      <c r="P45" t="str">
        <f>_xlfn.XLOOKUP(Table1[[#This Row],[Customer ID]], customers!$A$1:$A$1001, customers!$I$1:$I$1001,, 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INDEX(Product!$A$1:$G$49,MATCH(orders!$D46,Product!$A$1:$A$49,0),MATCH(orders!I$1,Product!$A$1:$G$1,0))</f>
        <v>Exc</v>
      </c>
      <c r="J46" t="str">
        <f>INDEX(Product!$A$1:$G$49,MATCH(orders!$D46,Product!$A$1:$A$49,0),MATCH(orders!J$1,Product!$A$1:$G$1,0))</f>
        <v>M</v>
      </c>
      <c r="K46" s="4">
        <f>INDEX(Product!$A$1:$G$49,MATCH(orders!$D46,Product!$A$1:$A$49,0),MATCH(orders!K$1,Product!$A$1:$G$1,0))</f>
        <v>0.5</v>
      </c>
      <c r="L46" s="5">
        <f>INDEX(Product!$A$1:$G$49,MATCH(orders!$D46,Product!$A$1:$A$49,0),MATCH(orders!L$1,Product!$A$1:$G$1,0))</f>
        <v>8.25</v>
      </c>
      <c r="M46" s="5">
        <f t="shared" si="0"/>
        <v>16.5</v>
      </c>
      <c r="N46" t="str" cm="1">
        <f t="array" ref="N46">_xlfn.IFS(I46="Rob", "Robusta", I46="Exc", "Excelsa", I46="Ara", "Arabica", I46="Lib", "Liberica", TRUE, "")</f>
        <v>Excelsa</v>
      </c>
      <c r="O46" t="str" cm="1">
        <f t="array" ref="O46">_xlfn.IFS(J46="M", "Medium", J46="L", "Light", J46="D", "Dark", TRUE, "")</f>
        <v>Medium</v>
      </c>
      <c r="P46" t="str">
        <f>_xlfn.XLOOKUP(Table1[[#This Row],[Customer ID]], customers!$A$1:$A$1001, customers!$I$1:$I$1001,, 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INDEX(Product!$A$1:$G$49,MATCH(orders!$D47,Product!$A$1:$A$49,0),MATCH(orders!I$1,Product!$A$1:$G$1,0))</f>
        <v>Lib</v>
      </c>
      <c r="J47" t="str">
        <f>INDEX(Product!$A$1:$G$49,MATCH(orders!$D47,Product!$A$1:$A$49,0),MATCH(orders!J$1,Product!$A$1:$G$1,0))</f>
        <v>D</v>
      </c>
      <c r="K47" s="4">
        <f>INDEX(Product!$A$1:$G$49,MATCH(orders!$D47,Product!$A$1:$A$49,0),MATCH(orders!K$1,Product!$A$1:$G$1,0))</f>
        <v>2.5</v>
      </c>
      <c r="L47" s="5">
        <f>INDEX(Product!$A$1:$G$49,MATCH(orders!$D47,Product!$A$1:$A$49,0),MATCH(orders!L$1,Product!$A$1:$G$1,0))</f>
        <v>29.784999999999997</v>
      </c>
      <c r="M47" s="5">
        <f t="shared" si="0"/>
        <v>178.70999999999998</v>
      </c>
      <c r="N47" t="str" cm="1">
        <f t="array" ref="N47">_xlfn.IFS(I47="Rob", "Robusta", I47="Exc", "Excelsa", I47="Ara", "Arabica", I47="Lib", "Liberica", TRUE, "")</f>
        <v>Liberica</v>
      </c>
      <c r="O47" t="str" cm="1">
        <f t="array" ref="O47">_xlfn.IFS(J47="M", "Medium", J47="L", "Light", J47="D", "Dark", TRUE, "")</f>
        <v>Dark</v>
      </c>
      <c r="P47" t="str">
        <f>_xlfn.XLOOKUP(Table1[[#This Row],[Customer ID]], customers!$A$1:$A$1001, customers!$I$1:$I$1001,, 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INDEX(Product!$A$1:$G$49,MATCH(orders!$D48,Product!$A$1:$A$49,0),MATCH(orders!I$1,Product!$A$1:$G$1,0))</f>
        <v>Exc</v>
      </c>
      <c r="J48" t="str">
        <f>INDEX(Product!$A$1:$G$49,MATCH(orders!$D48,Product!$A$1:$A$49,0),MATCH(orders!J$1,Product!$A$1:$G$1,0))</f>
        <v>M</v>
      </c>
      <c r="K48" s="4">
        <f>INDEX(Product!$A$1:$G$49,MATCH(orders!$D48,Product!$A$1:$A$49,0),MATCH(orders!K$1,Product!$A$1:$G$1,0))</f>
        <v>2.5</v>
      </c>
      <c r="L48" s="5">
        <f>INDEX(Product!$A$1:$G$49,MATCH(orders!$D48,Product!$A$1:$A$49,0),MATCH(orders!L$1,Product!$A$1:$G$1,0))</f>
        <v>31.624999999999996</v>
      </c>
      <c r="M48" s="5">
        <f t="shared" si="0"/>
        <v>63.249999999999993</v>
      </c>
      <c r="N48" t="str" cm="1">
        <f t="array" ref="N48">_xlfn.IFS(I48="Rob", "Robusta", I48="Exc", "Excelsa", I48="Ara", "Arabica", I48="Lib", "Liberica", TRUE, "")</f>
        <v>Excelsa</v>
      </c>
      <c r="O48" t="str" cm="1">
        <f t="array" ref="O48">_xlfn.IFS(J48="M", "Medium", J48="L", "Light", J48="D", "Dark", TRUE, "")</f>
        <v>Medium</v>
      </c>
      <c r="P48" t="str">
        <f>_xlfn.XLOOKUP(Table1[[#This Row],[Customer ID]], customers!$A$1:$A$1001, customers!$I$1:$I$1001,, 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INDEX(Product!$A$1:$G$49,MATCH(orders!$D49,Product!$A$1:$A$49,0),MATCH(orders!I$1,Product!$A$1:$G$1,0))</f>
        <v>Ara</v>
      </c>
      <c r="J49" t="str">
        <f>INDEX(Product!$A$1:$G$49,MATCH(orders!$D49,Product!$A$1:$A$49,0),MATCH(orders!J$1,Product!$A$1:$G$1,0))</f>
        <v>L</v>
      </c>
      <c r="K49" s="4">
        <f>INDEX(Product!$A$1:$G$49,MATCH(orders!$D49,Product!$A$1:$A$49,0),MATCH(orders!K$1,Product!$A$1:$G$1,0))</f>
        <v>0.2</v>
      </c>
      <c r="L49" s="5">
        <f>INDEX(Product!$A$1:$G$49,MATCH(orders!$D49,Product!$A$1:$A$49,0),MATCH(orders!L$1,Product!$A$1:$G$1,0))</f>
        <v>3.8849999999999998</v>
      </c>
      <c r="M49" s="5">
        <f t="shared" si="0"/>
        <v>7.77</v>
      </c>
      <c r="N49" t="str" cm="1">
        <f t="array" ref="N49">_xlfn.IFS(I49="Rob", "Robusta", I49="Exc", "Excelsa", I49="Ara", "Arabica", I49="Lib", "Liberica", TRUE, "")</f>
        <v>Arabica</v>
      </c>
      <c r="O49" t="str" cm="1">
        <f t="array" ref="O49">_xlfn.IFS(J49="M", "Medium", J49="L", "Light", J49="D", "Dark", TRUE, "")</f>
        <v>Light</v>
      </c>
      <c r="P49" t="str">
        <f>_xlfn.XLOOKUP(Table1[[#This Row],[Customer ID]], customers!$A$1:$A$1001, customers!$I$1:$I$1001,, 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INDEX(Product!$A$1:$G$49,MATCH(orders!$D50,Product!$A$1:$A$49,0),MATCH(orders!I$1,Product!$A$1:$G$1,0))</f>
        <v>Ara</v>
      </c>
      <c r="J50" t="str">
        <f>INDEX(Product!$A$1:$G$49,MATCH(orders!$D50,Product!$A$1:$A$49,0),MATCH(orders!J$1,Product!$A$1:$G$1,0))</f>
        <v>D</v>
      </c>
      <c r="K50" s="4">
        <f>INDEX(Product!$A$1:$G$49,MATCH(orders!$D50,Product!$A$1:$A$49,0),MATCH(orders!K$1,Product!$A$1:$G$1,0))</f>
        <v>2.5</v>
      </c>
      <c r="L50" s="5">
        <f>INDEX(Product!$A$1:$G$49,MATCH(orders!$D50,Product!$A$1:$A$49,0),MATCH(orders!L$1,Product!$A$1:$G$1,0))</f>
        <v>22.884999999999998</v>
      </c>
      <c r="M50" s="5">
        <f t="shared" si="0"/>
        <v>91.539999999999992</v>
      </c>
      <c r="N50" t="str" cm="1">
        <f t="array" ref="N50">_xlfn.IFS(I50="Rob", "Robusta", I50="Exc", "Excelsa", I50="Ara", "Arabica", I50="Lib", "Liberica", TRUE, "")</f>
        <v>Arabica</v>
      </c>
      <c r="O50" t="str" cm="1">
        <f t="array" ref="O50">_xlfn.IFS(J50="M", "Medium", J50="L", "Light", J50="D", "Dark", TRUE, "")</f>
        <v>Dark</v>
      </c>
      <c r="P50" t="str">
        <f>_xlfn.XLOOKUP(Table1[[#This Row],[Customer ID]], customers!$A$1:$A$1001, customers!$I$1:$I$1001,, 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INDEX(Product!$A$1:$G$49,MATCH(orders!$D51,Product!$A$1:$A$49,0),MATCH(orders!I$1,Product!$A$1:$G$1,0))</f>
        <v>Ara</v>
      </c>
      <c r="J51" t="str">
        <f>INDEX(Product!$A$1:$G$49,MATCH(orders!$D51,Product!$A$1:$A$49,0),MATCH(orders!J$1,Product!$A$1:$G$1,0))</f>
        <v>L</v>
      </c>
      <c r="K51" s="4">
        <f>INDEX(Product!$A$1:$G$49,MATCH(orders!$D51,Product!$A$1:$A$49,0),MATCH(orders!K$1,Product!$A$1:$G$1,0))</f>
        <v>1</v>
      </c>
      <c r="L51" s="5">
        <f>INDEX(Product!$A$1:$G$49,MATCH(orders!$D51,Product!$A$1:$A$49,0),MATCH(orders!L$1,Product!$A$1:$G$1,0))</f>
        <v>12.95</v>
      </c>
      <c r="M51" s="5">
        <f t="shared" si="0"/>
        <v>38.849999999999994</v>
      </c>
      <c r="N51" t="str" cm="1">
        <f t="array" ref="N51">_xlfn.IFS(I51="Rob", "Robusta", I51="Exc", "Excelsa", I51="Ara", "Arabica", I51="Lib", "Liberica", TRUE, "")</f>
        <v>Arabica</v>
      </c>
      <c r="O51" t="str" cm="1">
        <f t="array" ref="O51">_xlfn.IFS(J51="M", "Medium", J51="L", "Light", J51="D", "Dark", TRUE, "")</f>
        <v>Light</v>
      </c>
      <c r="P51" t="str">
        <f>_xlfn.XLOOKUP(Table1[[#This Row],[Customer ID]], customers!$A$1:$A$1001, customers!$I$1:$I$1001,, 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INDEX(Product!$A$1:$G$49,MATCH(orders!$D52,Product!$A$1:$A$49,0),MATCH(orders!I$1,Product!$A$1:$G$1,0))</f>
        <v>Lib</v>
      </c>
      <c r="J52" t="str">
        <f>INDEX(Product!$A$1:$G$49,MATCH(orders!$D52,Product!$A$1:$A$49,0),MATCH(orders!J$1,Product!$A$1:$G$1,0))</f>
        <v>D</v>
      </c>
      <c r="K52" s="4">
        <f>INDEX(Product!$A$1:$G$49,MATCH(orders!$D52,Product!$A$1:$A$49,0),MATCH(orders!K$1,Product!$A$1:$G$1,0))</f>
        <v>0.5</v>
      </c>
      <c r="L52" s="5">
        <f>INDEX(Product!$A$1:$G$49,MATCH(orders!$D52,Product!$A$1:$A$49,0),MATCH(orders!L$1,Product!$A$1:$G$1,0))</f>
        <v>7.77</v>
      </c>
      <c r="M52" s="5">
        <f t="shared" si="0"/>
        <v>15.54</v>
      </c>
      <c r="N52" t="str" cm="1">
        <f t="array" ref="N52">_xlfn.IFS(I52="Rob", "Robusta", I52="Exc", "Excelsa", I52="Ara", "Arabica", I52="Lib", "Liberica", TRUE, "")</f>
        <v>Liberica</v>
      </c>
      <c r="O52" t="str" cm="1">
        <f t="array" ref="O52">_xlfn.IFS(J52="M", "Medium", J52="L", "Light", J52="D", "Dark", TRUE, "")</f>
        <v>Dark</v>
      </c>
      <c r="P52" t="str">
        <f>_xlfn.XLOOKUP(Table1[[#This Row],[Customer ID]], customers!$A$1:$A$1001, customers!$I$1:$I$1001,, 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INDEX(Product!$A$1:$G$49,MATCH(orders!$D53,Product!$A$1:$A$49,0),MATCH(orders!I$1,Product!$A$1:$G$1,0))</f>
        <v>Lib</v>
      </c>
      <c r="J53" t="str">
        <f>INDEX(Product!$A$1:$G$49,MATCH(orders!$D53,Product!$A$1:$A$49,0),MATCH(orders!J$1,Product!$A$1:$G$1,0))</f>
        <v>L</v>
      </c>
      <c r="K53" s="4">
        <f>INDEX(Product!$A$1:$G$49,MATCH(orders!$D53,Product!$A$1:$A$49,0),MATCH(orders!K$1,Product!$A$1:$G$1,0))</f>
        <v>2.5</v>
      </c>
      <c r="L53" s="5">
        <f>INDEX(Product!$A$1:$G$49,MATCH(orders!$D53,Product!$A$1:$A$49,0),MATCH(orders!L$1,Product!$A$1:$G$1,0))</f>
        <v>36.454999999999998</v>
      </c>
      <c r="M53" s="5">
        <f t="shared" si="0"/>
        <v>145.82</v>
      </c>
      <c r="N53" t="str" cm="1">
        <f t="array" ref="N53">_xlfn.IFS(I53="Rob", "Robusta", I53="Exc", "Excelsa", I53="Ara", "Arabica", I53="Lib", "Liberica", TRUE, "")</f>
        <v>Liberica</v>
      </c>
      <c r="O53" t="str" cm="1">
        <f t="array" ref="O53">_xlfn.IFS(J53="M", "Medium", J53="L", "Light", J53="D", "Dark", TRUE, "")</f>
        <v>Light</v>
      </c>
      <c r="P53" t="str">
        <f>_xlfn.XLOOKUP(Table1[[#This Row],[Customer ID]], customers!$A$1:$A$1001, customers!$I$1:$I$1001,, 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INDEX(Product!$A$1:$G$49,MATCH(orders!$D54,Product!$A$1:$A$49,0),MATCH(orders!I$1,Product!$A$1:$G$1,0))</f>
        <v>Rob</v>
      </c>
      <c r="J54" t="str">
        <f>INDEX(Product!$A$1:$G$49,MATCH(orders!$D54,Product!$A$1:$A$49,0),MATCH(orders!J$1,Product!$A$1:$G$1,0))</f>
        <v>M</v>
      </c>
      <c r="K54" s="4">
        <f>INDEX(Product!$A$1:$G$49,MATCH(orders!$D54,Product!$A$1:$A$49,0),MATCH(orders!K$1,Product!$A$1:$G$1,0))</f>
        <v>0.5</v>
      </c>
      <c r="L54" s="5">
        <f>INDEX(Product!$A$1:$G$49,MATCH(orders!$D54,Product!$A$1:$A$49,0),MATCH(orders!L$1,Product!$A$1:$G$1,0))</f>
        <v>5.97</v>
      </c>
      <c r="M54" s="5">
        <f t="shared" si="0"/>
        <v>29.849999999999998</v>
      </c>
      <c r="N54" t="str" cm="1">
        <f t="array" ref="N54">_xlfn.IFS(I54="Rob", "Robusta", I54="Exc", "Excelsa", I54="Ara", "Arabica", I54="Lib", "Liberica", TRUE, "")</f>
        <v>Robusta</v>
      </c>
      <c r="O54" t="str" cm="1">
        <f t="array" ref="O54">_xlfn.IFS(J54="M", "Medium", J54="L", "Light", J54="D", "Dark", TRUE, "")</f>
        <v>Medium</v>
      </c>
      <c r="P54" t="str">
        <f>_xlfn.XLOOKUP(Table1[[#This Row],[Customer ID]], customers!$A$1:$A$1001, customers!$I$1:$I$1001,, 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INDEX(Product!$A$1:$G$49,MATCH(orders!$D55,Product!$A$1:$A$49,0),MATCH(orders!I$1,Product!$A$1:$G$1,0))</f>
        <v>Lib</v>
      </c>
      <c r="J55" t="str">
        <f>INDEX(Product!$A$1:$G$49,MATCH(orders!$D55,Product!$A$1:$A$49,0),MATCH(orders!J$1,Product!$A$1:$G$1,0))</f>
        <v>L</v>
      </c>
      <c r="K55" s="4">
        <f>INDEX(Product!$A$1:$G$49,MATCH(orders!$D55,Product!$A$1:$A$49,0),MATCH(orders!K$1,Product!$A$1:$G$1,0))</f>
        <v>2.5</v>
      </c>
      <c r="L55" s="5">
        <f>INDEX(Product!$A$1:$G$49,MATCH(orders!$D55,Product!$A$1:$A$49,0),MATCH(orders!L$1,Product!$A$1:$G$1,0))</f>
        <v>36.454999999999998</v>
      </c>
      <c r="M55" s="5">
        <f t="shared" si="0"/>
        <v>72.91</v>
      </c>
      <c r="N55" t="str" cm="1">
        <f t="array" ref="N55">_xlfn.IFS(I55="Rob", "Robusta", I55="Exc", "Excelsa", I55="Ara", "Arabica", I55="Lib", "Liberica", TRUE, "")</f>
        <v>Liberica</v>
      </c>
      <c r="O55" t="str" cm="1">
        <f t="array" ref="O55">_xlfn.IFS(J55="M", "Medium", J55="L", "Light", J55="D", "Dark", TRUE, "")</f>
        <v>Light</v>
      </c>
      <c r="P55" t="str">
        <f>_xlfn.XLOOKUP(Table1[[#This Row],[Customer ID]], customers!$A$1:$A$1001, customers!$I$1:$I$1001,, 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INDEX(Product!$A$1:$G$49,MATCH(orders!$D56,Product!$A$1:$A$49,0),MATCH(orders!I$1,Product!$A$1:$G$1,0))</f>
        <v>Lib</v>
      </c>
      <c r="J56" t="str">
        <f>INDEX(Product!$A$1:$G$49,MATCH(orders!$D56,Product!$A$1:$A$49,0),MATCH(orders!J$1,Product!$A$1:$G$1,0))</f>
        <v>M</v>
      </c>
      <c r="K56" s="4">
        <f>INDEX(Product!$A$1:$G$49,MATCH(orders!$D56,Product!$A$1:$A$49,0),MATCH(orders!K$1,Product!$A$1:$G$1,0))</f>
        <v>1</v>
      </c>
      <c r="L56" s="5">
        <f>INDEX(Product!$A$1:$G$49,MATCH(orders!$D56,Product!$A$1:$A$49,0),MATCH(orders!L$1,Product!$A$1:$G$1,0))</f>
        <v>14.55</v>
      </c>
      <c r="M56" s="5">
        <f t="shared" si="0"/>
        <v>72.75</v>
      </c>
      <c r="N56" t="str" cm="1">
        <f t="array" ref="N56">_xlfn.IFS(I56="Rob", "Robusta", I56="Exc", "Excelsa", I56="Ara", "Arabica", I56="Lib", "Liberica", TRUE, "")</f>
        <v>Liberica</v>
      </c>
      <c r="O56" t="str" cm="1">
        <f t="array" ref="O56">_xlfn.IFS(J56="M", "Medium", J56="L", "Light", J56="D", "Dark", TRUE, "")</f>
        <v>Medium</v>
      </c>
      <c r="P56" t="str">
        <f>_xlfn.XLOOKUP(Table1[[#This Row],[Customer ID]], customers!$A$1:$A$1001, customers!$I$1:$I$1001,, 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INDEX(Product!$A$1:$G$49,MATCH(orders!$D57,Product!$A$1:$A$49,0),MATCH(orders!I$1,Product!$A$1:$G$1,0))</f>
        <v>Lib</v>
      </c>
      <c r="J57" t="str">
        <f>INDEX(Product!$A$1:$G$49,MATCH(orders!$D57,Product!$A$1:$A$49,0),MATCH(orders!J$1,Product!$A$1:$G$1,0))</f>
        <v>L</v>
      </c>
      <c r="K57" s="4">
        <f>INDEX(Product!$A$1:$G$49,MATCH(orders!$D57,Product!$A$1:$A$49,0),MATCH(orders!K$1,Product!$A$1:$G$1,0))</f>
        <v>1</v>
      </c>
      <c r="L57" s="5">
        <f>INDEX(Product!$A$1:$G$49,MATCH(orders!$D57,Product!$A$1:$A$49,0),MATCH(orders!L$1,Product!$A$1:$G$1,0))</f>
        <v>15.85</v>
      </c>
      <c r="M57" s="5">
        <f t="shared" si="0"/>
        <v>47.55</v>
      </c>
      <c r="N57" t="str" cm="1">
        <f t="array" ref="N57">_xlfn.IFS(I57="Rob", "Robusta", I57="Exc", "Excelsa", I57="Ara", "Arabica", I57="Lib", "Liberica", TRUE, "")</f>
        <v>Liberica</v>
      </c>
      <c r="O57" t="str" cm="1">
        <f t="array" ref="O57">_xlfn.IFS(J57="M", "Medium", J57="L", "Light", J57="D", "Dark", TRUE, "")</f>
        <v>Light</v>
      </c>
      <c r="P57" t="str">
        <f>_xlfn.XLOOKUP(Table1[[#This Row],[Customer ID]], customers!$A$1:$A$1001, customers!$I$1:$I$1001,, 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INDEX(Product!$A$1:$G$49,MATCH(orders!$D58,Product!$A$1:$A$49,0),MATCH(orders!I$1,Product!$A$1:$G$1,0))</f>
        <v>Exc</v>
      </c>
      <c r="J58" t="str">
        <f>INDEX(Product!$A$1:$G$49,MATCH(orders!$D58,Product!$A$1:$A$49,0),MATCH(orders!J$1,Product!$A$1:$G$1,0))</f>
        <v>D</v>
      </c>
      <c r="K58" s="4">
        <f>INDEX(Product!$A$1:$G$49,MATCH(orders!$D58,Product!$A$1:$A$49,0),MATCH(orders!K$1,Product!$A$1:$G$1,0))</f>
        <v>0.2</v>
      </c>
      <c r="L58" s="5">
        <f>INDEX(Product!$A$1:$G$49,MATCH(orders!$D58,Product!$A$1:$A$49,0),MATCH(orders!L$1,Product!$A$1:$G$1,0))</f>
        <v>3.645</v>
      </c>
      <c r="M58" s="5">
        <f t="shared" si="0"/>
        <v>10.935</v>
      </c>
      <c r="N58" t="str" cm="1">
        <f t="array" ref="N58">_xlfn.IFS(I58="Rob", "Robusta", I58="Exc", "Excelsa", I58="Ara", "Arabica", I58="Lib", "Liberica", TRUE, "")</f>
        <v>Excelsa</v>
      </c>
      <c r="O58" t="str" cm="1">
        <f t="array" ref="O58">_xlfn.IFS(J58="M", "Medium", J58="L", "Light", J58="D", "Dark", TRUE, "")</f>
        <v>Dark</v>
      </c>
      <c r="P58" t="str">
        <f>_xlfn.XLOOKUP(Table1[[#This Row],[Customer ID]], customers!$A$1:$A$1001, customers!$I$1:$I$1001,, 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INDEX(Product!$A$1:$G$49,MATCH(orders!$D59,Product!$A$1:$A$49,0),MATCH(orders!I$1,Product!$A$1:$G$1,0))</f>
        <v>Exc</v>
      </c>
      <c r="J59" t="str">
        <f>INDEX(Product!$A$1:$G$49,MATCH(orders!$D59,Product!$A$1:$A$49,0),MATCH(orders!J$1,Product!$A$1:$G$1,0))</f>
        <v>L</v>
      </c>
      <c r="K59" s="4">
        <f>INDEX(Product!$A$1:$G$49,MATCH(orders!$D59,Product!$A$1:$A$49,0),MATCH(orders!K$1,Product!$A$1:$G$1,0))</f>
        <v>1</v>
      </c>
      <c r="L59" s="5">
        <f>INDEX(Product!$A$1:$G$49,MATCH(orders!$D59,Product!$A$1:$A$49,0),MATCH(orders!L$1,Product!$A$1:$G$1,0))</f>
        <v>14.85</v>
      </c>
      <c r="M59" s="5">
        <f t="shared" si="0"/>
        <v>59.4</v>
      </c>
      <c r="N59" t="str" cm="1">
        <f t="array" ref="N59">_xlfn.IFS(I59="Rob", "Robusta", I59="Exc", "Excelsa", I59="Ara", "Arabica", I59="Lib", "Liberica", TRUE, "")</f>
        <v>Excelsa</v>
      </c>
      <c r="O59" t="str" cm="1">
        <f t="array" ref="O59">_xlfn.IFS(J59="M", "Medium", J59="L", "Light", J59="D", "Dark", TRUE, "")</f>
        <v>Light</v>
      </c>
      <c r="P59" t="str">
        <f>_xlfn.XLOOKUP(Table1[[#This Row],[Customer ID]], customers!$A$1:$A$1001, customers!$I$1:$I$1001,, 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INDEX(Product!$A$1:$G$49,MATCH(orders!$D60,Product!$A$1:$A$49,0),MATCH(orders!I$1,Product!$A$1:$G$1,0))</f>
        <v>Lib</v>
      </c>
      <c r="J60" t="str">
        <f>INDEX(Product!$A$1:$G$49,MATCH(orders!$D60,Product!$A$1:$A$49,0),MATCH(orders!J$1,Product!$A$1:$G$1,0))</f>
        <v>D</v>
      </c>
      <c r="K60" s="4">
        <f>INDEX(Product!$A$1:$G$49,MATCH(orders!$D60,Product!$A$1:$A$49,0),MATCH(orders!K$1,Product!$A$1:$G$1,0))</f>
        <v>2.5</v>
      </c>
      <c r="L60" s="5">
        <f>INDEX(Product!$A$1:$G$49,MATCH(orders!$D60,Product!$A$1:$A$49,0),MATCH(orders!L$1,Product!$A$1:$G$1,0))</f>
        <v>29.784999999999997</v>
      </c>
      <c r="M60" s="5">
        <f t="shared" si="0"/>
        <v>89.35499999999999</v>
      </c>
      <c r="N60" t="str" cm="1">
        <f t="array" ref="N60">_xlfn.IFS(I60="Rob", "Robusta", I60="Exc", "Excelsa", I60="Ara", "Arabica", I60="Lib", "Liberica", TRUE, "")</f>
        <v>Liberica</v>
      </c>
      <c r="O60" t="str" cm="1">
        <f t="array" ref="O60">_xlfn.IFS(J60="M", "Medium", J60="L", "Light", J60="D", "Dark", TRUE, "")</f>
        <v>Dark</v>
      </c>
      <c r="P60" t="str">
        <f>_xlfn.XLOOKUP(Table1[[#This Row],[Customer ID]], customers!$A$1:$A$1001, customers!$I$1:$I$1001,, 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INDEX(Product!$A$1:$G$49,MATCH(orders!$D61,Product!$A$1:$A$49,0),MATCH(orders!I$1,Product!$A$1:$G$1,0))</f>
        <v>Lib</v>
      </c>
      <c r="J61" t="str">
        <f>INDEX(Product!$A$1:$G$49,MATCH(orders!$D61,Product!$A$1:$A$49,0),MATCH(orders!J$1,Product!$A$1:$G$1,0))</f>
        <v>M</v>
      </c>
      <c r="K61" s="4">
        <f>INDEX(Product!$A$1:$G$49,MATCH(orders!$D61,Product!$A$1:$A$49,0),MATCH(orders!K$1,Product!$A$1:$G$1,0))</f>
        <v>0.5</v>
      </c>
      <c r="L61" s="5">
        <f>INDEX(Product!$A$1:$G$49,MATCH(orders!$D61,Product!$A$1:$A$49,0),MATCH(orders!L$1,Product!$A$1:$G$1,0))</f>
        <v>8.73</v>
      </c>
      <c r="M61" s="5">
        <f t="shared" si="0"/>
        <v>26.19</v>
      </c>
      <c r="N61" t="str" cm="1">
        <f t="array" ref="N61">_xlfn.IFS(I61="Rob", "Robusta", I61="Exc", "Excelsa", I61="Ara", "Arabica", I61="Lib", "Liberica", TRUE, "")</f>
        <v>Liberica</v>
      </c>
      <c r="O61" t="str" cm="1">
        <f t="array" ref="O61">_xlfn.IFS(J61="M", "Medium", J61="L", "Light", J61="D", "Dark", TRUE, "")</f>
        <v>Medium</v>
      </c>
      <c r="P61" t="str">
        <f>_xlfn.XLOOKUP(Table1[[#This Row],[Customer ID]], customers!$A$1:$A$1001, customers!$I$1:$I$1001,, 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INDEX(Product!$A$1:$G$49,MATCH(orders!$D62,Product!$A$1:$A$49,0),MATCH(orders!I$1,Product!$A$1:$G$1,0))</f>
        <v>Ara</v>
      </c>
      <c r="J62" t="str">
        <f>INDEX(Product!$A$1:$G$49,MATCH(orders!$D62,Product!$A$1:$A$49,0),MATCH(orders!J$1,Product!$A$1:$G$1,0))</f>
        <v>D</v>
      </c>
      <c r="K62" s="4">
        <f>INDEX(Product!$A$1:$G$49,MATCH(orders!$D62,Product!$A$1:$A$49,0),MATCH(orders!K$1,Product!$A$1:$G$1,0))</f>
        <v>2.5</v>
      </c>
      <c r="L62" s="5">
        <f>INDEX(Product!$A$1:$G$49,MATCH(orders!$D62,Product!$A$1:$A$49,0),MATCH(orders!L$1,Product!$A$1:$G$1,0))</f>
        <v>22.884999999999998</v>
      </c>
      <c r="M62" s="5">
        <f t="shared" si="0"/>
        <v>114.42499999999998</v>
      </c>
      <c r="N62" t="str" cm="1">
        <f t="array" ref="N62">_xlfn.IFS(I62="Rob", "Robusta", I62="Exc", "Excelsa", I62="Ara", "Arabica", I62="Lib", "Liberica", TRUE, "")</f>
        <v>Arabica</v>
      </c>
      <c r="O62" t="str" cm="1">
        <f t="array" ref="O62">_xlfn.IFS(J62="M", "Medium", J62="L", "Light", J62="D", "Dark", TRUE, "")</f>
        <v>Dark</v>
      </c>
      <c r="P62" t="str">
        <f>_xlfn.XLOOKUP(Table1[[#This Row],[Customer ID]], customers!$A$1:$A$1001, customers!$I$1:$I$1001,, 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INDEX(Product!$A$1:$G$49,MATCH(orders!$D63,Product!$A$1:$A$49,0),MATCH(orders!I$1,Product!$A$1:$G$1,0))</f>
        <v>Rob</v>
      </c>
      <c r="J63" t="str">
        <f>INDEX(Product!$A$1:$G$49,MATCH(orders!$D63,Product!$A$1:$A$49,0),MATCH(orders!J$1,Product!$A$1:$G$1,0))</f>
        <v>D</v>
      </c>
      <c r="K63" s="4">
        <f>INDEX(Product!$A$1:$G$49,MATCH(orders!$D63,Product!$A$1:$A$49,0),MATCH(orders!K$1,Product!$A$1:$G$1,0))</f>
        <v>0.5</v>
      </c>
      <c r="L63" s="5">
        <f>INDEX(Product!$A$1:$G$49,MATCH(orders!$D63,Product!$A$1:$A$49,0),MATCH(orders!L$1,Product!$A$1:$G$1,0))</f>
        <v>5.3699999999999992</v>
      </c>
      <c r="M63" s="5">
        <f t="shared" si="0"/>
        <v>26.849999999999994</v>
      </c>
      <c r="N63" t="str" cm="1">
        <f t="array" ref="N63">_xlfn.IFS(I63="Rob", "Robusta", I63="Exc", "Excelsa", I63="Ara", "Arabica", I63="Lib", "Liberica", TRUE, "")</f>
        <v>Robusta</v>
      </c>
      <c r="O63" t="str" cm="1">
        <f t="array" ref="O63">_xlfn.IFS(J63="M", "Medium", J63="L", "Light", J63="D", "Dark", TRUE, "")</f>
        <v>Dark</v>
      </c>
      <c r="P63" t="str">
        <f>_xlfn.XLOOKUP(Table1[[#This Row],[Customer ID]], customers!$A$1:$A$1001, customers!$I$1:$I$1001,, 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INDEX(Product!$A$1:$G$49,MATCH(orders!$D64,Product!$A$1:$A$49,0),MATCH(orders!I$1,Product!$A$1:$G$1,0))</f>
        <v>Lib</v>
      </c>
      <c r="J64" t="str">
        <f>INDEX(Product!$A$1:$G$49,MATCH(orders!$D64,Product!$A$1:$A$49,0),MATCH(orders!J$1,Product!$A$1:$G$1,0))</f>
        <v>L</v>
      </c>
      <c r="K64" s="4">
        <f>INDEX(Product!$A$1:$G$49,MATCH(orders!$D64,Product!$A$1:$A$49,0),MATCH(orders!K$1,Product!$A$1:$G$1,0))</f>
        <v>0.2</v>
      </c>
      <c r="L64" s="5">
        <f>INDEX(Product!$A$1:$G$49,MATCH(orders!$D64,Product!$A$1:$A$49,0),MATCH(orders!L$1,Product!$A$1:$G$1,0))</f>
        <v>4.7549999999999999</v>
      </c>
      <c r="M64" s="5">
        <f t="shared" si="0"/>
        <v>23.774999999999999</v>
      </c>
      <c r="N64" t="str" cm="1">
        <f t="array" ref="N64">_xlfn.IFS(I64="Rob", "Robusta", I64="Exc", "Excelsa", I64="Ara", "Arabica", I64="Lib", "Liberica", TRUE, "")</f>
        <v>Liberica</v>
      </c>
      <c r="O64" t="str" cm="1">
        <f t="array" ref="O64">_xlfn.IFS(J64="M", "Medium", J64="L", "Light", J64="D", "Dark", TRUE, "")</f>
        <v>Light</v>
      </c>
      <c r="P64" t="str">
        <f>_xlfn.XLOOKUP(Table1[[#This Row],[Customer ID]], customers!$A$1:$A$1001, customers!$I$1:$I$1001,, 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INDEX(Product!$A$1:$G$49,MATCH(orders!$D65,Product!$A$1:$A$49,0),MATCH(orders!I$1,Product!$A$1:$G$1,0))</f>
        <v>Ara</v>
      </c>
      <c r="J65" t="str">
        <f>INDEX(Product!$A$1:$G$49,MATCH(orders!$D65,Product!$A$1:$A$49,0),MATCH(orders!J$1,Product!$A$1:$G$1,0))</f>
        <v>M</v>
      </c>
      <c r="K65" s="4">
        <f>INDEX(Product!$A$1:$G$49,MATCH(orders!$D65,Product!$A$1:$A$49,0),MATCH(orders!K$1,Product!$A$1:$G$1,0))</f>
        <v>0.5</v>
      </c>
      <c r="L65" s="5">
        <f>INDEX(Product!$A$1:$G$49,MATCH(orders!$D65,Product!$A$1:$A$49,0),MATCH(orders!L$1,Product!$A$1:$G$1,0))</f>
        <v>6.75</v>
      </c>
      <c r="M65" s="5">
        <f t="shared" si="0"/>
        <v>6.75</v>
      </c>
      <c r="N65" t="str" cm="1">
        <f t="array" ref="N65">_xlfn.IFS(I65="Rob", "Robusta", I65="Exc", "Excelsa", I65="Ara", "Arabica", I65="Lib", "Liberica", TRUE, "")</f>
        <v>Arabica</v>
      </c>
      <c r="O65" t="str" cm="1">
        <f t="array" ref="O65">_xlfn.IFS(J65="M", "Medium", J65="L", "Light", J65="D", "Dark", TRUE, "")</f>
        <v>Medium</v>
      </c>
      <c r="P65" t="str">
        <f>_xlfn.XLOOKUP(Table1[[#This Row],[Customer ID]], customers!$A$1:$A$1001, customers!$I$1:$I$1001,, 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INDEX(Product!$A$1:$G$49,MATCH(orders!$D66,Product!$A$1:$A$49,0),MATCH(orders!I$1,Product!$A$1:$G$1,0))</f>
        <v>Rob</v>
      </c>
      <c r="J66" t="str">
        <f>INDEX(Product!$A$1:$G$49,MATCH(orders!$D66,Product!$A$1:$A$49,0),MATCH(orders!J$1,Product!$A$1:$G$1,0))</f>
        <v>M</v>
      </c>
      <c r="K66" s="4">
        <f>INDEX(Product!$A$1:$G$49,MATCH(orders!$D66,Product!$A$1:$A$49,0),MATCH(orders!K$1,Product!$A$1:$G$1,0))</f>
        <v>0.5</v>
      </c>
      <c r="L66" s="5">
        <f>INDEX(Product!$A$1:$G$49,MATCH(orders!$D66,Product!$A$1:$A$49,0),MATCH(orders!L$1,Product!$A$1:$G$1,0))</f>
        <v>5.97</v>
      </c>
      <c r="M66" s="5">
        <f t="shared" ref="M66:M129" si="1">L66*E66</f>
        <v>35.82</v>
      </c>
      <c r="N66" t="str" cm="1">
        <f t="array" ref="N66">_xlfn.IFS(I66="Rob", "Robusta", I66="Exc", "Excelsa", I66="Ara", "Arabica", I66="Lib", "Liberica", TRUE, "")</f>
        <v>Robusta</v>
      </c>
      <c r="O66" t="str" cm="1">
        <f t="array" ref="O66">_xlfn.IFS(J66="M", "Medium", J66="L", "Light", J66="D", "Dark", TRUE, "")</f>
        <v>Medium</v>
      </c>
      <c r="P66" t="str">
        <f>_xlfn.XLOOKUP(Table1[[#This Row],[Customer ID]], customers!$A$1:$A$1001, customers!$I$1:$I$1001,, 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INDEX(Product!$A$1:$G$49,MATCH(orders!$D67,Product!$A$1:$A$49,0),MATCH(orders!I$1,Product!$A$1:$G$1,0))</f>
        <v>Rob</v>
      </c>
      <c r="J67" t="str">
        <f>INDEX(Product!$A$1:$G$49,MATCH(orders!$D67,Product!$A$1:$A$49,0),MATCH(orders!J$1,Product!$A$1:$G$1,0))</f>
        <v>D</v>
      </c>
      <c r="K67" s="4">
        <f>INDEX(Product!$A$1:$G$49,MATCH(orders!$D67,Product!$A$1:$A$49,0),MATCH(orders!K$1,Product!$A$1:$G$1,0))</f>
        <v>2.5</v>
      </c>
      <c r="L67" s="5">
        <f>INDEX(Product!$A$1:$G$49,MATCH(orders!$D67,Product!$A$1:$A$49,0),MATCH(orders!L$1,Product!$A$1:$G$1,0))</f>
        <v>20.584999999999997</v>
      </c>
      <c r="M67" s="5">
        <f t="shared" si="1"/>
        <v>82.339999999999989</v>
      </c>
      <c r="N67" t="str" cm="1">
        <f t="array" ref="N67">_xlfn.IFS(I67="Rob", "Robusta", I67="Exc", "Excelsa", I67="Ara", "Arabica", I67="Lib", "Liberica", TRUE, "")</f>
        <v>Robusta</v>
      </c>
      <c r="O67" t="str" cm="1">
        <f t="array" ref="O67">_xlfn.IFS(J67="M", "Medium", J67="L", "Light", J67="D", "Dark", TRUE, "")</f>
        <v>Dark</v>
      </c>
      <c r="P67" t="str">
        <f>_xlfn.XLOOKUP(Table1[[#This Row],[Customer ID]], customers!$A$1:$A$1001, customers!$I$1:$I$1001,, 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INDEX(Product!$A$1:$G$49,MATCH(orders!$D68,Product!$A$1:$A$49,0),MATCH(orders!I$1,Product!$A$1:$G$1,0))</f>
        <v>Rob</v>
      </c>
      <c r="J68" t="str">
        <f>INDEX(Product!$A$1:$G$49,MATCH(orders!$D68,Product!$A$1:$A$49,0),MATCH(orders!J$1,Product!$A$1:$G$1,0))</f>
        <v>L</v>
      </c>
      <c r="K68" s="4">
        <f>INDEX(Product!$A$1:$G$49,MATCH(orders!$D68,Product!$A$1:$A$49,0),MATCH(orders!K$1,Product!$A$1:$G$1,0))</f>
        <v>0.5</v>
      </c>
      <c r="L68" s="5">
        <f>INDEX(Product!$A$1:$G$49,MATCH(orders!$D68,Product!$A$1:$A$49,0),MATCH(orders!L$1,Product!$A$1:$G$1,0))</f>
        <v>7.169999999999999</v>
      </c>
      <c r="M68" s="5">
        <f t="shared" si="1"/>
        <v>7.169999999999999</v>
      </c>
      <c r="N68" t="str" cm="1">
        <f t="array" ref="N68">_xlfn.IFS(I68="Rob", "Robusta", I68="Exc", "Excelsa", I68="Ara", "Arabica", I68="Lib", "Liberica", TRUE, "")</f>
        <v>Robusta</v>
      </c>
      <c r="O68" t="str" cm="1">
        <f t="array" ref="O68">_xlfn.IFS(J68="M", "Medium", J68="L", "Light", J68="D", "Dark", TRUE, "")</f>
        <v>Light</v>
      </c>
      <c r="P68" t="str">
        <f>_xlfn.XLOOKUP(Table1[[#This Row],[Customer ID]], customers!$A$1:$A$1001, customers!$I$1:$I$1001,, 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INDEX(Product!$A$1:$G$49,MATCH(orders!$D69,Product!$A$1:$A$49,0),MATCH(orders!I$1,Product!$A$1:$G$1,0))</f>
        <v>Lib</v>
      </c>
      <c r="J69" t="str">
        <f>INDEX(Product!$A$1:$G$49,MATCH(orders!$D69,Product!$A$1:$A$49,0),MATCH(orders!J$1,Product!$A$1:$G$1,0))</f>
        <v>L</v>
      </c>
      <c r="K69" s="4">
        <f>INDEX(Product!$A$1:$G$49,MATCH(orders!$D69,Product!$A$1:$A$49,0),MATCH(orders!K$1,Product!$A$1:$G$1,0))</f>
        <v>0.2</v>
      </c>
      <c r="L69" s="5">
        <f>INDEX(Product!$A$1:$G$49,MATCH(orders!$D69,Product!$A$1:$A$49,0),MATCH(orders!L$1,Product!$A$1:$G$1,0))</f>
        <v>4.7549999999999999</v>
      </c>
      <c r="M69" s="5">
        <f t="shared" si="1"/>
        <v>9.51</v>
      </c>
      <c r="N69" t="str" cm="1">
        <f t="array" ref="N69">_xlfn.IFS(I69="Rob", "Robusta", I69="Exc", "Excelsa", I69="Ara", "Arabica", I69="Lib", "Liberica", TRUE, "")</f>
        <v>Liberica</v>
      </c>
      <c r="O69" t="str" cm="1">
        <f t="array" ref="O69">_xlfn.IFS(J69="M", "Medium", J69="L", "Light", J69="D", "Dark", TRUE, "")</f>
        <v>Light</v>
      </c>
      <c r="P69" t="str">
        <f>_xlfn.XLOOKUP(Table1[[#This Row],[Customer ID]], customers!$A$1:$A$1001, customers!$I$1:$I$1001,, 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INDEX(Product!$A$1:$G$49,MATCH(orders!$D70,Product!$A$1:$A$49,0),MATCH(orders!I$1,Product!$A$1:$G$1,0))</f>
        <v>Rob</v>
      </c>
      <c r="J70" t="str">
        <f>INDEX(Product!$A$1:$G$49,MATCH(orders!$D70,Product!$A$1:$A$49,0),MATCH(orders!J$1,Product!$A$1:$G$1,0))</f>
        <v>M</v>
      </c>
      <c r="K70" s="4">
        <f>INDEX(Product!$A$1:$G$49,MATCH(orders!$D70,Product!$A$1:$A$49,0),MATCH(orders!K$1,Product!$A$1:$G$1,0))</f>
        <v>0.2</v>
      </c>
      <c r="L70" s="5">
        <f>INDEX(Product!$A$1:$G$49,MATCH(orders!$D70,Product!$A$1:$A$49,0),MATCH(orders!L$1,Product!$A$1:$G$1,0))</f>
        <v>2.9849999999999999</v>
      </c>
      <c r="M70" s="5">
        <f t="shared" si="1"/>
        <v>2.9849999999999999</v>
      </c>
      <c r="N70" t="str" cm="1">
        <f t="array" ref="N70">_xlfn.IFS(I70="Rob", "Robusta", I70="Exc", "Excelsa", I70="Ara", "Arabica", I70="Lib", "Liberica", TRUE, "")</f>
        <v>Robusta</v>
      </c>
      <c r="O70" t="str" cm="1">
        <f t="array" ref="O70">_xlfn.IFS(J70="M", "Medium", J70="L", "Light", J70="D", "Dark", TRUE, "")</f>
        <v>Medium</v>
      </c>
      <c r="P70" t="str">
        <f>_xlfn.XLOOKUP(Table1[[#This Row],[Customer ID]], customers!$A$1:$A$1001, customers!$I$1:$I$1001,, 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INDEX(Product!$A$1:$G$49,MATCH(orders!$D71,Product!$A$1:$A$49,0),MATCH(orders!I$1,Product!$A$1:$G$1,0))</f>
        <v>Rob</v>
      </c>
      <c r="J71" t="str">
        <f>INDEX(Product!$A$1:$G$49,MATCH(orders!$D71,Product!$A$1:$A$49,0),MATCH(orders!J$1,Product!$A$1:$G$1,0))</f>
        <v>M</v>
      </c>
      <c r="K71" s="4">
        <f>INDEX(Product!$A$1:$G$49,MATCH(orders!$D71,Product!$A$1:$A$49,0),MATCH(orders!K$1,Product!$A$1:$G$1,0))</f>
        <v>1</v>
      </c>
      <c r="L71" s="5">
        <f>INDEX(Product!$A$1:$G$49,MATCH(orders!$D71,Product!$A$1:$A$49,0),MATCH(orders!L$1,Product!$A$1:$G$1,0))</f>
        <v>9.9499999999999993</v>
      </c>
      <c r="M71" s="5">
        <f t="shared" si="1"/>
        <v>59.699999999999996</v>
      </c>
      <c r="N71" t="str" cm="1">
        <f t="array" ref="N71">_xlfn.IFS(I71="Rob", "Robusta", I71="Exc", "Excelsa", I71="Ara", "Arabica", I71="Lib", "Liberica", TRUE, "")</f>
        <v>Robusta</v>
      </c>
      <c r="O71" t="str" cm="1">
        <f t="array" ref="O71">_xlfn.IFS(J71="M", "Medium", J71="L", "Light", J71="D", "Dark", TRUE, "")</f>
        <v>Medium</v>
      </c>
      <c r="P71" t="str">
        <f>_xlfn.XLOOKUP(Table1[[#This Row],[Customer ID]], customers!$A$1:$A$1001, customers!$I$1:$I$1001,, 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INDEX(Product!$A$1:$G$49,MATCH(orders!$D72,Product!$A$1:$A$49,0),MATCH(orders!I$1,Product!$A$1:$G$1,0))</f>
        <v>Exc</v>
      </c>
      <c r="J72" t="str">
        <f>INDEX(Product!$A$1:$G$49,MATCH(orders!$D72,Product!$A$1:$A$49,0),MATCH(orders!J$1,Product!$A$1:$G$1,0))</f>
        <v>L</v>
      </c>
      <c r="K72" s="4">
        <f>INDEX(Product!$A$1:$G$49,MATCH(orders!$D72,Product!$A$1:$A$49,0),MATCH(orders!K$1,Product!$A$1:$G$1,0))</f>
        <v>2.5</v>
      </c>
      <c r="L72" s="5">
        <f>INDEX(Product!$A$1:$G$49,MATCH(orders!$D72,Product!$A$1:$A$49,0),MATCH(orders!L$1,Product!$A$1:$G$1,0))</f>
        <v>34.154999999999994</v>
      </c>
      <c r="M72" s="5">
        <f t="shared" si="1"/>
        <v>136.61999999999998</v>
      </c>
      <c r="N72" t="str" cm="1">
        <f t="array" ref="N72">_xlfn.IFS(I72="Rob", "Robusta", I72="Exc", "Excelsa", I72="Ara", "Arabica", I72="Lib", "Liberica", TRUE, "")</f>
        <v>Excelsa</v>
      </c>
      <c r="O72" t="str" cm="1">
        <f t="array" ref="O72">_xlfn.IFS(J72="M", "Medium", J72="L", "Light", J72="D", "Dark", TRUE, "")</f>
        <v>Light</v>
      </c>
      <c r="P72" t="str">
        <f>_xlfn.XLOOKUP(Table1[[#This Row],[Customer ID]], customers!$A$1:$A$1001, customers!$I$1:$I$1001,, 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INDEX(Product!$A$1:$G$49,MATCH(orders!$D73,Product!$A$1:$A$49,0),MATCH(orders!I$1,Product!$A$1:$G$1,0))</f>
        <v>Lib</v>
      </c>
      <c r="J73" t="str">
        <f>INDEX(Product!$A$1:$G$49,MATCH(orders!$D73,Product!$A$1:$A$49,0),MATCH(orders!J$1,Product!$A$1:$G$1,0))</f>
        <v>L</v>
      </c>
      <c r="K73" s="4">
        <f>INDEX(Product!$A$1:$G$49,MATCH(orders!$D73,Product!$A$1:$A$49,0),MATCH(orders!K$1,Product!$A$1:$G$1,0))</f>
        <v>0.2</v>
      </c>
      <c r="L73" s="5">
        <f>INDEX(Product!$A$1:$G$49,MATCH(orders!$D73,Product!$A$1:$A$49,0),MATCH(orders!L$1,Product!$A$1:$G$1,0))</f>
        <v>4.7549999999999999</v>
      </c>
      <c r="M73" s="5">
        <f t="shared" si="1"/>
        <v>9.51</v>
      </c>
      <c r="N73" t="str" cm="1">
        <f t="array" ref="N73">_xlfn.IFS(I73="Rob", "Robusta", I73="Exc", "Excelsa", I73="Ara", "Arabica", I73="Lib", "Liberica", TRUE, "")</f>
        <v>Liberica</v>
      </c>
      <c r="O73" t="str" cm="1">
        <f t="array" ref="O73">_xlfn.IFS(J73="M", "Medium", J73="L", "Light", J73="D", "Dark", TRUE, "")</f>
        <v>Light</v>
      </c>
      <c r="P73" t="str">
        <f>_xlfn.XLOOKUP(Table1[[#This Row],[Customer ID]], customers!$A$1:$A$1001, customers!$I$1:$I$1001,, 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INDEX(Product!$A$1:$G$49,MATCH(orders!$D74,Product!$A$1:$A$49,0),MATCH(orders!I$1,Product!$A$1:$G$1,0))</f>
        <v>Ara</v>
      </c>
      <c r="J74" t="str">
        <f>INDEX(Product!$A$1:$G$49,MATCH(orders!$D74,Product!$A$1:$A$49,0),MATCH(orders!J$1,Product!$A$1:$G$1,0))</f>
        <v>M</v>
      </c>
      <c r="K74" s="4">
        <f>INDEX(Product!$A$1:$G$49,MATCH(orders!$D74,Product!$A$1:$A$49,0),MATCH(orders!K$1,Product!$A$1:$G$1,0))</f>
        <v>2.5</v>
      </c>
      <c r="L74" s="5">
        <f>INDEX(Product!$A$1:$G$49,MATCH(orders!$D74,Product!$A$1:$A$49,0),MATCH(orders!L$1,Product!$A$1:$G$1,0))</f>
        <v>25.874999999999996</v>
      </c>
      <c r="M74" s="5">
        <f t="shared" si="1"/>
        <v>77.624999999999986</v>
      </c>
      <c r="N74" t="str" cm="1">
        <f t="array" ref="N74">_xlfn.IFS(I74="Rob", "Robusta", I74="Exc", "Excelsa", I74="Ara", "Arabica", I74="Lib", "Liberica", TRUE, "")</f>
        <v>Arabica</v>
      </c>
      <c r="O74" t="str" cm="1">
        <f t="array" ref="O74">_xlfn.IFS(J74="M", "Medium", J74="L", "Light", J74="D", "Dark", TRUE, "")</f>
        <v>Medium</v>
      </c>
      <c r="P74" t="str">
        <f>_xlfn.XLOOKUP(Table1[[#This Row],[Customer ID]], customers!$A$1:$A$1001, customers!$I$1:$I$1001,, 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INDEX(Product!$A$1:$G$49,MATCH(orders!$D75,Product!$A$1:$A$49,0),MATCH(orders!I$1,Product!$A$1:$G$1,0))</f>
        <v>Lib</v>
      </c>
      <c r="J75" t="str">
        <f>INDEX(Product!$A$1:$G$49,MATCH(orders!$D75,Product!$A$1:$A$49,0),MATCH(orders!J$1,Product!$A$1:$G$1,0))</f>
        <v>M</v>
      </c>
      <c r="K75" s="4">
        <f>INDEX(Product!$A$1:$G$49,MATCH(orders!$D75,Product!$A$1:$A$49,0),MATCH(orders!K$1,Product!$A$1:$G$1,0))</f>
        <v>0.2</v>
      </c>
      <c r="L75" s="5">
        <f>INDEX(Product!$A$1:$G$49,MATCH(orders!$D75,Product!$A$1:$A$49,0),MATCH(orders!L$1,Product!$A$1:$G$1,0))</f>
        <v>4.3650000000000002</v>
      </c>
      <c r="M75" s="5">
        <f t="shared" si="1"/>
        <v>21.825000000000003</v>
      </c>
      <c r="N75" t="str" cm="1">
        <f t="array" ref="N75">_xlfn.IFS(I75="Rob", "Robusta", I75="Exc", "Excelsa", I75="Ara", "Arabica", I75="Lib", "Liberica", TRUE, "")</f>
        <v>Liberica</v>
      </c>
      <c r="O75" t="str" cm="1">
        <f t="array" ref="O75">_xlfn.IFS(J75="M", "Medium", J75="L", "Light", J75="D", "Dark", TRUE, "")</f>
        <v>Medium</v>
      </c>
      <c r="P75" t="str">
        <f>_xlfn.XLOOKUP(Table1[[#This Row],[Customer ID]], customers!$A$1:$A$1001, customers!$I$1:$I$1001,, 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INDEX(Product!$A$1:$G$49,MATCH(orders!$D76,Product!$A$1:$A$49,0),MATCH(orders!I$1,Product!$A$1:$G$1,0))</f>
        <v>Exc</v>
      </c>
      <c r="J76" t="str">
        <f>INDEX(Product!$A$1:$G$49,MATCH(orders!$D76,Product!$A$1:$A$49,0),MATCH(orders!J$1,Product!$A$1:$G$1,0))</f>
        <v>L</v>
      </c>
      <c r="K76" s="4">
        <f>INDEX(Product!$A$1:$G$49,MATCH(orders!$D76,Product!$A$1:$A$49,0),MATCH(orders!K$1,Product!$A$1:$G$1,0))</f>
        <v>0.5</v>
      </c>
      <c r="L76" s="5">
        <f>INDEX(Product!$A$1:$G$49,MATCH(orders!$D76,Product!$A$1:$A$49,0),MATCH(orders!L$1,Product!$A$1:$G$1,0))</f>
        <v>8.91</v>
      </c>
      <c r="M76" s="5">
        <f t="shared" si="1"/>
        <v>17.82</v>
      </c>
      <c r="N76" t="str" cm="1">
        <f t="array" ref="N76">_xlfn.IFS(I76="Rob", "Robusta", I76="Exc", "Excelsa", I76="Ara", "Arabica", I76="Lib", "Liberica", TRUE, "")</f>
        <v>Excelsa</v>
      </c>
      <c r="O76" t="str" cm="1">
        <f t="array" ref="O76">_xlfn.IFS(J76="M", "Medium", J76="L", "Light", J76="D", "Dark", TRUE, "")</f>
        <v>Light</v>
      </c>
      <c r="P76" t="str">
        <f>_xlfn.XLOOKUP(Table1[[#This Row],[Customer ID]], customers!$A$1:$A$1001, customers!$I$1:$I$1001,, 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INDEX(Product!$A$1:$G$49,MATCH(orders!$D77,Product!$A$1:$A$49,0),MATCH(orders!I$1,Product!$A$1:$G$1,0))</f>
        <v>Rob</v>
      </c>
      <c r="J77" t="str">
        <f>INDEX(Product!$A$1:$G$49,MATCH(orders!$D77,Product!$A$1:$A$49,0),MATCH(orders!J$1,Product!$A$1:$G$1,0))</f>
        <v>D</v>
      </c>
      <c r="K77" s="4">
        <f>INDEX(Product!$A$1:$G$49,MATCH(orders!$D77,Product!$A$1:$A$49,0),MATCH(orders!K$1,Product!$A$1:$G$1,0))</f>
        <v>1</v>
      </c>
      <c r="L77" s="5">
        <f>INDEX(Product!$A$1:$G$49,MATCH(orders!$D77,Product!$A$1:$A$49,0),MATCH(orders!L$1,Product!$A$1:$G$1,0))</f>
        <v>8.9499999999999993</v>
      </c>
      <c r="M77" s="5">
        <f t="shared" si="1"/>
        <v>53.699999999999996</v>
      </c>
      <c r="N77" t="str" cm="1">
        <f t="array" ref="N77">_xlfn.IFS(I77="Rob", "Robusta", I77="Exc", "Excelsa", I77="Ara", "Arabica", I77="Lib", "Liberica", TRUE, "")</f>
        <v>Robusta</v>
      </c>
      <c r="O77" t="str" cm="1">
        <f t="array" ref="O77">_xlfn.IFS(J77="M", "Medium", J77="L", "Light", J77="D", "Dark", TRUE, "")</f>
        <v>Dark</v>
      </c>
      <c r="P77" t="str">
        <f>_xlfn.XLOOKUP(Table1[[#This Row],[Customer ID]], customers!$A$1:$A$1001, customers!$I$1:$I$1001,, 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INDEX(Product!$A$1:$G$49,MATCH(orders!$D78,Product!$A$1:$A$49,0),MATCH(orders!I$1,Product!$A$1:$G$1,0))</f>
        <v>Rob</v>
      </c>
      <c r="J78" t="str">
        <f>INDEX(Product!$A$1:$G$49,MATCH(orders!$D78,Product!$A$1:$A$49,0),MATCH(orders!J$1,Product!$A$1:$G$1,0))</f>
        <v>L</v>
      </c>
      <c r="K78" s="4">
        <f>INDEX(Product!$A$1:$G$49,MATCH(orders!$D78,Product!$A$1:$A$49,0),MATCH(orders!K$1,Product!$A$1:$G$1,0))</f>
        <v>0.2</v>
      </c>
      <c r="L78" s="5">
        <f>INDEX(Product!$A$1:$G$49,MATCH(orders!$D78,Product!$A$1:$A$49,0),MATCH(orders!L$1,Product!$A$1:$G$1,0))</f>
        <v>3.5849999999999995</v>
      </c>
      <c r="M78" s="5">
        <f t="shared" si="1"/>
        <v>3.5849999999999995</v>
      </c>
      <c r="N78" t="str" cm="1">
        <f t="array" ref="N78">_xlfn.IFS(I78="Rob", "Robusta", I78="Exc", "Excelsa", I78="Ara", "Arabica", I78="Lib", "Liberica", TRUE, "")</f>
        <v>Robusta</v>
      </c>
      <c r="O78" t="str" cm="1">
        <f t="array" ref="O78">_xlfn.IFS(J78="M", "Medium", J78="L", "Light", J78="D", "Dark", TRUE, "")</f>
        <v>Light</v>
      </c>
      <c r="P78" t="str">
        <f>_xlfn.XLOOKUP(Table1[[#This Row],[Customer ID]], customers!$A$1:$A$1001, customers!$I$1:$I$1001,, 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INDEX(Product!$A$1:$G$49,MATCH(orders!$D79,Product!$A$1:$A$49,0),MATCH(orders!I$1,Product!$A$1:$G$1,0))</f>
        <v>Exc</v>
      </c>
      <c r="J79" t="str">
        <f>INDEX(Product!$A$1:$G$49,MATCH(orders!$D79,Product!$A$1:$A$49,0),MATCH(orders!J$1,Product!$A$1:$G$1,0))</f>
        <v>D</v>
      </c>
      <c r="K79" s="4">
        <f>INDEX(Product!$A$1:$G$49,MATCH(orders!$D79,Product!$A$1:$A$49,0),MATCH(orders!K$1,Product!$A$1:$G$1,0))</f>
        <v>0.2</v>
      </c>
      <c r="L79" s="5">
        <f>INDEX(Product!$A$1:$G$49,MATCH(orders!$D79,Product!$A$1:$A$49,0),MATCH(orders!L$1,Product!$A$1:$G$1,0))</f>
        <v>3.645</v>
      </c>
      <c r="M79" s="5">
        <f t="shared" si="1"/>
        <v>7.29</v>
      </c>
      <c r="N79" t="str" cm="1">
        <f t="array" ref="N79">_xlfn.IFS(I79="Rob", "Robusta", I79="Exc", "Excelsa", I79="Ara", "Arabica", I79="Lib", "Liberica", TRUE, "")</f>
        <v>Excelsa</v>
      </c>
      <c r="O79" t="str" cm="1">
        <f t="array" ref="O79">_xlfn.IFS(J79="M", "Medium", J79="L", "Light", J79="D", "Dark", TRUE, "")</f>
        <v>Dark</v>
      </c>
      <c r="P79" t="str">
        <f>_xlfn.XLOOKUP(Table1[[#This Row],[Customer ID]], customers!$A$1:$A$1001, customers!$I$1:$I$1001,, 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INDEX(Product!$A$1:$G$49,MATCH(orders!$D80,Product!$A$1:$A$49,0),MATCH(orders!I$1,Product!$A$1:$G$1,0))</f>
        <v>Ara</v>
      </c>
      <c r="J80" t="str">
        <f>INDEX(Product!$A$1:$G$49,MATCH(orders!$D80,Product!$A$1:$A$49,0),MATCH(orders!J$1,Product!$A$1:$G$1,0))</f>
        <v>M</v>
      </c>
      <c r="K80" s="4">
        <f>INDEX(Product!$A$1:$G$49,MATCH(orders!$D80,Product!$A$1:$A$49,0),MATCH(orders!K$1,Product!$A$1:$G$1,0))</f>
        <v>0.5</v>
      </c>
      <c r="L80" s="5">
        <f>INDEX(Product!$A$1:$G$49,MATCH(orders!$D80,Product!$A$1:$A$49,0),MATCH(orders!L$1,Product!$A$1:$G$1,0))</f>
        <v>6.75</v>
      </c>
      <c r="M80" s="5">
        <f t="shared" si="1"/>
        <v>40.5</v>
      </c>
      <c r="N80" t="str" cm="1">
        <f t="array" ref="N80">_xlfn.IFS(I80="Rob", "Robusta", I80="Exc", "Excelsa", I80="Ara", "Arabica", I80="Lib", "Liberica", TRUE, "")</f>
        <v>Arabica</v>
      </c>
      <c r="O80" t="str" cm="1">
        <f t="array" ref="O80">_xlfn.IFS(J80="M", "Medium", J80="L", "Light", J80="D", "Dark", TRUE, "")</f>
        <v>Medium</v>
      </c>
      <c r="P80" t="str">
        <f>_xlfn.XLOOKUP(Table1[[#This Row],[Customer ID]], customers!$A$1:$A$1001, customers!$I$1:$I$1001,, 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INDEX(Product!$A$1:$G$49,MATCH(orders!$D81,Product!$A$1:$A$49,0),MATCH(orders!I$1,Product!$A$1:$G$1,0))</f>
        <v>Rob</v>
      </c>
      <c r="J81" t="str">
        <f>INDEX(Product!$A$1:$G$49,MATCH(orders!$D81,Product!$A$1:$A$49,0),MATCH(orders!J$1,Product!$A$1:$G$1,0))</f>
        <v>L</v>
      </c>
      <c r="K81" s="4">
        <f>INDEX(Product!$A$1:$G$49,MATCH(orders!$D81,Product!$A$1:$A$49,0),MATCH(orders!K$1,Product!$A$1:$G$1,0))</f>
        <v>1</v>
      </c>
      <c r="L81" s="5">
        <f>INDEX(Product!$A$1:$G$49,MATCH(orders!$D81,Product!$A$1:$A$49,0),MATCH(orders!L$1,Product!$A$1:$G$1,0))</f>
        <v>11.95</v>
      </c>
      <c r="M81" s="5">
        <f t="shared" si="1"/>
        <v>47.8</v>
      </c>
      <c r="N81" t="str" cm="1">
        <f t="array" ref="N81">_xlfn.IFS(I81="Rob", "Robusta", I81="Exc", "Excelsa", I81="Ara", "Arabica", I81="Lib", "Liberica", TRUE, "")</f>
        <v>Robusta</v>
      </c>
      <c r="O81" t="str" cm="1">
        <f t="array" ref="O81">_xlfn.IFS(J81="M", "Medium", J81="L", "Light", J81="D", "Dark", TRUE, "")</f>
        <v>Light</v>
      </c>
      <c r="P81" t="str">
        <f>_xlfn.XLOOKUP(Table1[[#This Row],[Customer ID]], customers!$A$1:$A$1001, customers!$I$1:$I$1001,, 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INDEX(Product!$A$1:$G$49,MATCH(orders!$D82,Product!$A$1:$A$49,0),MATCH(orders!I$1,Product!$A$1:$G$1,0))</f>
        <v>Ara</v>
      </c>
      <c r="J82" t="str">
        <f>INDEX(Product!$A$1:$G$49,MATCH(orders!$D82,Product!$A$1:$A$49,0),MATCH(orders!J$1,Product!$A$1:$G$1,0))</f>
        <v>L</v>
      </c>
      <c r="K82" s="4">
        <f>INDEX(Product!$A$1:$G$49,MATCH(orders!$D82,Product!$A$1:$A$49,0),MATCH(orders!K$1,Product!$A$1:$G$1,0))</f>
        <v>0.5</v>
      </c>
      <c r="L82" s="5">
        <f>INDEX(Product!$A$1:$G$49,MATCH(orders!$D82,Product!$A$1:$A$49,0),MATCH(orders!L$1,Product!$A$1:$G$1,0))</f>
        <v>7.77</v>
      </c>
      <c r="M82" s="5">
        <f t="shared" si="1"/>
        <v>38.849999999999994</v>
      </c>
      <c r="N82" t="str" cm="1">
        <f t="array" ref="N82">_xlfn.IFS(I82="Rob", "Robusta", I82="Exc", "Excelsa", I82="Ara", "Arabica", I82="Lib", "Liberica", TRUE, "")</f>
        <v>Arabica</v>
      </c>
      <c r="O82" t="str" cm="1">
        <f t="array" ref="O82">_xlfn.IFS(J82="M", "Medium", J82="L", "Light", J82="D", "Dark", TRUE, "")</f>
        <v>Light</v>
      </c>
      <c r="P82" t="str">
        <f>_xlfn.XLOOKUP(Table1[[#This Row],[Customer ID]], customers!$A$1:$A$1001, customers!$I$1:$I$1001,, 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INDEX(Product!$A$1:$G$49,MATCH(orders!$D83,Product!$A$1:$A$49,0),MATCH(orders!I$1,Product!$A$1:$G$1,0))</f>
        <v>Lib</v>
      </c>
      <c r="J83" t="str">
        <f>INDEX(Product!$A$1:$G$49,MATCH(orders!$D83,Product!$A$1:$A$49,0),MATCH(orders!J$1,Product!$A$1:$G$1,0))</f>
        <v>L</v>
      </c>
      <c r="K83" s="4">
        <f>INDEX(Product!$A$1:$G$49,MATCH(orders!$D83,Product!$A$1:$A$49,0),MATCH(orders!K$1,Product!$A$1:$G$1,0))</f>
        <v>2.5</v>
      </c>
      <c r="L83" s="5">
        <f>INDEX(Product!$A$1:$G$49,MATCH(orders!$D83,Product!$A$1:$A$49,0),MATCH(orders!L$1,Product!$A$1:$G$1,0))</f>
        <v>36.454999999999998</v>
      </c>
      <c r="M83" s="5">
        <f t="shared" si="1"/>
        <v>109.36499999999999</v>
      </c>
      <c r="N83" t="str" cm="1">
        <f t="array" ref="N83">_xlfn.IFS(I83="Rob", "Robusta", I83="Exc", "Excelsa", I83="Ara", "Arabica", I83="Lib", "Liberica", TRUE, "")</f>
        <v>Liberica</v>
      </c>
      <c r="O83" t="str" cm="1">
        <f t="array" ref="O83">_xlfn.IFS(J83="M", "Medium", J83="L", "Light", J83="D", "Dark", TRUE, "")</f>
        <v>Light</v>
      </c>
      <c r="P83" t="str">
        <f>_xlfn.XLOOKUP(Table1[[#This Row],[Customer ID]], customers!$A$1:$A$1001, customers!$I$1:$I$1001,, 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INDEX(Product!$A$1:$G$49,MATCH(orders!$D84,Product!$A$1:$A$49,0),MATCH(orders!I$1,Product!$A$1:$G$1,0))</f>
        <v>Lib</v>
      </c>
      <c r="J84" t="str">
        <f>INDEX(Product!$A$1:$G$49,MATCH(orders!$D84,Product!$A$1:$A$49,0),MATCH(orders!J$1,Product!$A$1:$G$1,0))</f>
        <v>M</v>
      </c>
      <c r="K84" s="4">
        <f>INDEX(Product!$A$1:$G$49,MATCH(orders!$D84,Product!$A$1:$A$49,0),MATCH(orders!K$1,Product!$A$1:$G$1,0))</f>
        <v>2.5</v>
      </c>
      <c r="L84" s="5">
        <f>INDEX(Product!$A$1:$G$49,MATCH(orders!$D84,Product!$A$1:$A$49,0),MATCH(orders!L$1,Product!$A$1:$G$1,0))</f>
        <v>33.464999999999996</v>
      </c>
      <c r="M84" s="5">
        <f t="shared" si="1"/>
        <v>100.39499999999998</v>
      </c>
      <c r="N84" t="str" cm="1">
        <f t="array" ref="N84">_xlfn.IFS(I84="Rob", "Robusta", I84="Exc", "Excelsa", I84="Ara", "Arabica", I84="Lib", "Liberica", TRUE, "")</f>
        <v>Liberica</v>
      </c>
      <c r="O84" t="str" cm="1">
        <f t="array" ref="O84">_xlfn.IFS(J84="M", "Medium", J84="L", "Light", J84="D", "Dark", TRUE, "")</f>
        <v>Medium</v>
      </c>
      <c r="P84" t="str">
        <f>_xlfn.XLOOKUP(Table1[[#This Row],[Customer ID]], customers!$A$1:$A$1001, customers!$I$1:$I$1001,, 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INDEX(Product!$A$1:$G$49,MATCH(orders!$D85,Product!$A$1:$A$49,0),MATCH(orders!I$1,Product!$A$1:$G$1,0))</f>
        <v>Rob</v>
      </c>
      <c r="J85" t="str">
        <f>INDEX(Product!$A$1:$G$49,MATCH(orders!$D85,Product!$A$1:$A$49,0),MATCH(orders!J$1,Product!$A$1:$G$1,0))</f>
        <v>D</v>
      </c>
      <c r="K85" s="4">
        <f>INDEX(Product!$A$1:$G$49,MATCH(orders!$D85,Product!$A$1:$A$49,0),MATCH(orders!K$1,Product!$A$1:$G$1,0))</f>
        <v>2.5</v>
      </c>
      <c r="L85" s="5">
        <f>INDEX(Product!$A$1:$G$49,MATCH(orders!$D85,Product!$A$1:$A$49,0),MATCH(orders!L$1,Product!$A$1:$G$1,0))</f>
        <v>20.584999999999997</v>
      </c>
      <c r="M85" s="5">
        <f t="shared" si="1"/>
        <v>82.339999999999989</v>
      </c>
      <c r="N85" t="str" cm="1">
        <f t="array" ref="N85">_xlfn.IFS(I85="Rob", "Robusta", I85="Exc", "Excelsa", I85="Ara", "Arabica", I85="Lib", "Liberica", TRUE, "")</f>
        <v>Robusta</v>
      </c>
      <c r="O85" t="str" cm="1">
        <f t="array" ref="O85">_xlfn.IFS(J85="M", "Medium", J85="L", "Light", J85="D", "Dark", TRUE, "")</f>
        <v>Dark</v>
      </c>
      <c r="P85" t="str">
        <f>_xlfn.XLOOKUP(Table1[[#This Row],[Customer ID]], customers!$A$1:$A$1001, customers!$I$1:$I$1001,, 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INDEX(Product!$A$1:$G$49,MATCH(orders!$D86,Product!$A$1:$A$49,0),MATCH(orders!I$1,Product!$A$1:$G$1,0))</f>
        <v>Lib</v>
      </c>
      <c r="J86" t="str">
        <f>INDEX(Product!$A$1:$G$49,MATCH(orders!$D86,Product!$A$1:$A$49,0),MATCH(orders!J$1,Product!$A$1:$G$1,0))</f>
        <v>L</v>
      </c>
      <c r="K86" s="4">
        <f>INDEX(Product!$A$1:$G$49,MATCH(orders!$D86,Product!$A$1:$A$49,0),MATCH(orders!K$1,Product!$A$1:$G$1,0))</f>
        <v>0.5</v>
      </c>
      <c r="L86" s="5">
        <f>INDEX(Product!$A$1:$G$49,MATCH(orders!$D86,Product!$A$1:$A$49,0),MATCH(orders!L$1,Product!$A$1:$G$1,0))</f>
        <v>9.51</v>
      </c>
      <c r="M86" s="5">
        <f t="shared" si="1"/>
        <v>9.51</v>
      </c>
      <c r="N86" t="str" cm="1">
        <f t="array" ref="N86">_xlfn.IFS(I86="Rob", "Robusta", I86="Exc", "Excelsa", I86="Ara", "Arabica", I86="Lib", "Liberica", TRUE, "")</f>
        <v>Liberica</v>
      </c>
      <c r="O86" t="str" cm="1">
        <f t="array" ref="O86">_xlfn.IFS(J86="M", "Medium", J86="L", "Light", J86="D", "Dark", TRUE, "")</f>
        <v>Light</v>
      </c>
      <c r="P86" t="str">
        <f>_xlfn.XLOOKUP(Table1[[#This Row],[Customer ID]], customers!$A$1:$A$1001, customers!$I$1:$I$1001,, 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INDEX(Product!$A$1:$G$49,MATCH(orders!$D87,Product!$A$1:$A$49,0),MATCH(orders!I$1,Product!$A$1:$G$1,0))</f>
        <v>Ara</v>
      </c>
      <c r="J87" t="str">
        <f>INDEX(Product!$A$1:$G$49,MATCH(orders!$D87,Product!$A$1:$A$49,0),MATCH(orders!J$1,Product!$A$1:$G$1,0))</f>
        <v>L</v>
      </c>
      <c r="K87" s="4">
        <f>INDEX(Product!$A$1:$G$49,MATCH(orders!$D87,Product!$A$1:$A$49,0),MATCH(orders!K$1,Product!$A$1:$G$1,0))</f>
        <v>2.5</v>
      </c>
      <c r="L87" s="5">
        <f>INDEX(Product!$A$1:$G$49,MATCH(orders!$D87,Product!$A$1:$A$49,0),MATCH(orders!L$1,Product!$A$1:$G$1,0))</f>
        <v>29.784999999999997</v>
      </c>
      <c r="M87" s="5">
        <f t="shared" si="1"/>
        <v>89.35499999999999</v>
      </c>
      <c r="N87" t="str" cm="1">
        <f t="array" ref="N87">_xlfn.IFS(I87="Rob", "Robusta", I87="Exc", "Excelsa", I87="Ara", "Arabica", I87="Lib", "Liberica", TRUE, "")</f>
        <v>Arabica</v>
      </c>
      <c r="O87" t="str" cm="1">
        <f t="array" ref="O87">_xlfn.IFS(J87="M", "Medium", J87="L", "Light", J87="D", "Dark", TRUE, "")</f>
        <v>Light</v>
      </c>
      <c r="P87" t="str">
        <f>_xlfn.XLOOKUP(Table1[[#This Row],[Customer ID]], customers!$A$1:$A$1001, customers!$I$1:$I$1001,, 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INDEX(Product!$A$1:$G$49,MATCH(orders!$D88,Product!$A$1:$A$49,0),MATCH(orders!I$1,Product!$A$1:$G$1,0))</f>
        <v>Ara</v>
      </c>
      <c r="J88" t="str">
        <f>INDEX(Product!$A$1:$G$49,MATCH(orders!$D88,Product!$A$1:$A$49,0),MATCH(orders!J$1,Product!$A$1:$G$1,0))</f>
        <v>D</v>
      </c>
      <c r="K88" s="4">
        <f>INDEX(Product!$A$1:$G$49,MATCH(orders!$D88,Product!$A$1:$A$49,0),MATCH(orders!K$1,Product!$A$1:$G$1,0))</f>
        <v>0.2</v>
      </c>
      <c r="L88" s="5">
        <f>INDEX(Product!$A$1:$G$49,MATCH(orders!$D88,Product!$A$1:$A$49,0),MATCH(orders!L$1,Product!$A$1:$G$1,0))</f>
        <v>2.9849999999999999</v>
      </c>
      <c r="M88" s="5">
        <f t="shared" si="1"/>
        <v>11.94</v>
      </c>
      <c r="N88" t="str" cm="1">
        <f t="array" ref="N88">_xlfn.IFS(I88="Rob", "Robusta", I88="Exc", "Excelsa", I88="Ara", "Arabica", I88="Lib", "Liberica", TRUE, "")</f>
        <v>Arabica</v>
      </c>
      <c r="O88" t="str" cm="1">
        <f t="array" ref="O88">_xlfn.IFS(J88="M", "Medium", J88="L", "Light", J88="D", "Dark", TRUE, "")</f>
        <v>Dark</v>
      </c>
      <c r="P88" t="str">
        <f>_xlfn.XLOOKUP(Table1[[#This Row],[Customer ID]], customers!$A$1:$A$1001, customers!$I$1:$I$1001,, 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INDEX(Product!$A$1:$G$49,MATCH(orders!$D89,Product!$A$1:$A$49,0),MATCH(orders!I$1,Product!$A$1:$G$1,0))</f>
        <v>Ara</v>
      </c>
      <c r="J89" t="str">
        <f>INDEX(Product!$A$1:$G$49,MATCH(orders!$D89,Product!$A$1:$A$49,0),MATCH(orders!J$1,Product!$A$1:$G$1,0))</f>
        <v>M</v>
      </c>
      <c r="K89" s="4">
        <f>INDEX(Product!$A$1:$G$49,MATCH(orders!$D89,Product!$A$1:$A$49,0),MATCH(orders!K$1,Product!$A$1:$G$1,0))</f>
        <v>1</v>
      </c>
      <c r="L89" s="5">
        <f>INDEX(Product!$A$1:$G$49,MATCH(orders!$D89,Product!$A$1:$A$49,0),MATCH(orders!L$1,Product!$A$1:$G$1,0))</f>
        <v>11.25</v>
      </c>
      <c r="M89" s="5">
        <f t="shared" si="1"/>
        <v>33.75</v>
      </c>
      <c r="N89" t="str" cm="1">
        <f t="array" ref="N89">_xlfn.IFS(I89="Rob", "Robusta", I89="Exc", "Excelsa", I89="Ara", "Arabica", I89="Lib", "Liberica", TRUE, "")</f>
        <v>Arabica</v>
      </c>
      <c r="O89" t="str" cm="1">
        <f t="array" ref="O89">_xlfn.IFS(J89="M", "Medium", J89="L", "Light", J89="D", "Dark", TRUE, "")</f>
        <v>Medium</v>
      </c>
      <c r="P89" t="str">
        <f>_xlfn.XLOOKUP(Table1[[#This Row],[Customer ID]], customers!$A$1:$A$1001, customers!$I$1:$I$1001,, 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INDEX(Product!$A$1:$G$49,MATCH(orders!$D90,Product!$A$1:$A$49,0),MATCH(orders!I$1,Product!$A$1:$G$1,0))</f>
        <v>Rob</v>
      </c>
      <c r="J90" t="str">
        <f>INDEX(Product!$A$1:$G$49,MATCH(orders!$D90,Product!$A$1:$A$49,0),MATCH(orders!J$1,Product!$A$1:$G$1,0))</f>
        <v>L</v>
      </c>
      <c r="K90" s="4">
        <f>INDEX(Product!$A$1:$G$49,MATCH(orders!$D90,Product!$A$1:$A$49,0),MATCH(orders!K$1,Product!$A$1:$G$1,0))</f>
        <v>1</v>
      </c>
      <c r="L90" s="5">
        <f>INDEX(Product!$A$1:$G$49,MATCH(orders!$D90,Product!$A$1:$A$49,0),MATCH(orders!L$1,Product!$A$1:$G$1,0))</f>
        <v>11.95</v>
      </c>
      <c r="M90" s="5">
        <f t="shared" si="1"/>
        <v>35.849999999999994</v>
      </c>
      <c r="N90" t="str" cm="1">
        <f t="array" ref="N90">_xlfn.IFS(I90="Rob", "Robusta", I90="Exc", "Excelsa", I90="Ara", "Arabica", I90="Lib", "Liberica", TRUE, "")</f>
        <v>Robusta</v>
      </c>
      <c r="O90" t="str" cm="1">
        <f t="array" ref="O90">_xlfn.IFS(J90="M", "Medium", J90="L", "Light", J90="D", "Dark", TRUE, "")</f>
        <v>Light</v>
      </c>
      <c r="P90" t="str">
        <f>_xlfn.XLOOKUP(Table1[[#This Row],[Customer ID]], customers!$A$1:$A$1001, customers!$I$1:$I$1001,, 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INDEX(Product!$A$1:$G$49,MATCH(orders!$D91,Product!$A$1:$A$49,0),MATCH(orders!I$1,Product!$A$1:$G$1,0))</f>
        <v>Ara</v>
      </c>
      <c r="J91" t="str">
        <f>INDEX(Product!$A$1:$G$49,MATCH(orders!$D91,Product!$A$1:$A$49,0),MATCH(orders!J$1,Product!$A$1:$G$1,0))</f>
        <v>L</v>
      </c>
      <c r="K91" s="4">
        <f>INDEX(Product!$A$1:$G$49,MATCH(orders!$D91,Product!$A$1:$A$49,0),MATCH(orders!K$1,Product!$A$1:$G$1,0))</f>
        <v>1</v>
      </c>
      <c r="L91" s="5">
        <f>INDEX(Product!$A$1:$G$49,MATCH(orders!$D91,Product!$A$1:$A$49,0),MATCH(orders!L$1,Product!$A$1:$G$1,0))</f>
        <v>12.95</v>
      </c>
      <c r="M91" s="5">
        <f t="shared" si="1"/>
        <v>77.699999999999989</v>
      </c>
      <c r="N91" t="str" cm="1">
        <f t="array" ref="N91">_xlfn.IFS(I91="Rob", "Robusta", I91="Exc", "Excelsa", I91="Ara", "Arabica", I91="Lib", "Liberica", TRUE, "")</f>
        <v>Arabica</v>
      </c>
      <c r="O91" t="str" cm="1">
        <f t="array" ref="O91">_xlfn.IFS(J91="M", "Medium", J91="L", "Light", J91="D", "Dark", TRUE, "")</f>
        <v>Light</v>
      </c>
      <c r="P91" t="str">
        <f>_xlfn.XLOOKUP(Table1[[#This Row],[Customer ID]], customers!$A$1:$A$1001, customers!$I$1:$I$1001,, 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INDEX(Product!$A$1:$G$49,MATCH(orders!$D92,Product!$A$1:$A$49,0),MATCH(orders!I$1,Product!$A$1:$G$1,0))</f>
        <v>Ara</v>
      </c>
      <c r="J92" t="str">
        <f>INDEX(Product!$A$1:$G$49,MATCH(orders!$D92,Product!$A$1:$A$49,0),MATCH(orders!J$1,Product!$A$1:$G$1,0))</f>
        <v>L</v>
      </c>
      <c r="K92" s="4">
        <f>INDEX(Product!$A$1:$G$49,MATCH(orders!$D92,Product!$A$1:$A$49,0),MATCH(orders!K$1,Product!$A$1:$G$1,0))</f>
        <v>1</v>
      </c>
      <c r="L92" s="5">
        <f>INDEX(Product!$A$1:$G$49,MATCH(orders!$D92,Product!$A$1:$A$49,0),MATCH(orders!L$1,Product!$A$1:$G$1,0))</f>
        <v>12.95</v>
      </c>
      <c r="M92" s="5">
        <f t="shared" si="1"/>
        <v>51.8</v>
      </c>
      <c r="N92" t="str" cm="1">
        <f t="array" ref="N92">_xlfn.IFS(I92="Rob", "Robusta", I92="Exc", "Excelsa", I92="Ara", "Arabica", I92="Lib", "Liberica", TRUE, "")</f>
        <v>Arabica</v>
      </c>
      <c r="O92" t="str" cm="1">
        <f t="array" ref="O92">_xlfn.IFS(J92="M", "Medium", J92="L", "Light", J92="D", "Dark", TRUE, "")</f>
        <v>Light</v>
      </c>
      <c r="P92" t="str">
        <f>_xlfn.XLOOKUP(Table1[[#This Row],[Customer ID]], customers!$A$1:$A$1001, customers!$I$1:$I$1001,, 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INDEX(Product!$A$1:$G$49,MATCH(orders!$D93,Product!$A$1:$A$49,0),MATCH(orders!I$1,Product!$A$1:$G$1,0))</f>
        <v>Ara</v>
      </c>
      <c r="J93" t="str">
        <f>INDEX(Product!$A$1:$G$49,MATCH(orders!$D93,Product!$A$1:$A$49,0),MATCH(orders!J$1,Product!$A$1:$G$1,0))</f>
        <v>M</v>
      </c>
      <c r="K93" s="4">
        <f>INDEX(Product!$A$1:$G$49,MATCH(orders!$D93,Product!$A$1:$A$49,0),MATCH(orders!K$1,Product!$A$1:$G$1,0))</f>
        <v>2.5</v>
      </c>
      <c r="L93" s="5">
        <f>INDEX(Product!$A$1:$G$49,MATCH(orders!$D93,Product!$A$1:$A$49,0),MATCH(orders!L$1,Product!$A$1:$G$1,0))</f>
        <v>25.874999999999996</v>
      </c>
      <c r="M93" s="5">
        <f t="shared" si="1"/>
        <v>103.49999999999999</v>
      </c>
      <c r="N93" t="str" cm="1">
        <f t="array" ref="N93">_xlfn.IFS(I93="Rob", "Robusta", I93="Exc", "Excelsa", I93="Ara", "Arabica", I93="Lib", "Liberica", TRUE, "")</f>
        <v>Arabica</v>
      </c>
      <c r="O93" t="str" cm="1">
        <f t="array" ref="O93">_xlfn.IFS(J93="M", "Medium", J93="L", "Light", J93="D", "Dark", TRUE, "")</f>
        <v>Medium</v>
      </c>
      <c r="P93" t="str">
        <f>_xlfn.XLOOKUP(Table1[[#This Row],[Customer ID]], customers!$A$1:$A$1001, customers!$I$1:$I$1001,, 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INDEX(Product!$A$1:$G$49,MATCH(orders!$D94,Product!$A$1:$A$49,0),MATCH(orders!I$1,Product!$A$1:$G$1,0))</f>
        <v>Exc</v>
      </c>
      <c r="J94" t="str">
        <f>INDEX(Product!$A$1:$G$49,MATCH(orders!$D94,Product!$A$1:$A$49,0),MATCH(orders!J$1,Product!$A$1:$G$1,0))</f>
        <v>L</v>
      </c>
      <c r="K94" s="4">
        <f>INDEX(Product!$A$1:$G$49,MATCH(orders!$D94,Product!$A$1:$A$49,0),MATCH(orders!K$1,Product!$A$1:$G$1,0))</f>
        <v>1</v>
      </c>
      <c r="L94" s="5">
        <f>INDEX(Product!$A$1:$G$49,MATCH(orders!$D94,Product!$A$1:$A$49,0),MATCH(orders!L$1,Product!$A$1:$G$1,0))</f>
        <v>14.85</v>
      </c>
      <c r="M94" s="5">
        <f t="shared" si="1"/>
        <v>44.55</v>
      </c>
      <c r="N94" t="str" cm="1">
        <f t="array" ref="N94">_xlfn.IFS(I94="Rob", "Robusta", I94="Exc", "Excelsa", I94="Ara", "Arabica", I94="Lib", "Liberica", TRUE, "")</f>
        <v>Excelsa</v>
      </c>
      <c r="O94" t="str" cm="1">
        <f t="array" ref="O94">_xlfn.IFS(J94="M", "Medium", J94="L", "Light", J94="D", "Dark", TRUE, "")</f>
        <v>Light</v>
      </c>
      <c r="P94" t="str">
        <f>_xlfn.XLOOKUP(Table1[[#This Row],[Customer ID]], customers!$A$1:$A$1001, customers!$I$1:$I$1001,, 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INDEX(Product!$A$1:$G$49,MATCH(orders!$D95,Product!$A$1:$A$49,0),MATCH(orders!I$1,Product!$A$1:$G$1,0))</f>
        <v>Exc</v>
      </c>
      <c r="J95" t="str">
        <f>INDEX(Product!$A$1:$G$49,MATCH(orders!$D95,Product!$A$1:$A$49,0),MATCH(orders!J$1,Product!$A$1:$G$1,0))</f>
        <v>L</v>
      </c>
      <c r="K95" s="4">
        <f>INDEX(Product!$A$1:$G$49,MATCH(orders!$D95,Product!$A$1:$A$49,0),MATCH(orders!K$1,Product!$A$1:$G$1,0))</f>
        <v>0.5</v>
      </c>
      <c r="L95" s="5">
        <f>INDEX(Product!$A$1:$G$49,MATCH(orders!$D95,Product!$A$1:$A$49,0),MATCH(orders!L$1,Product!$A$1:$G$1,0))</f>
        <v>8.91</v>
      </c>
      <c r="M95" s="5">
        <f t="shared" si="1"/>
        <v>35.64</v>
      </c>
      <c r="N95" t="str" cm="1">
        <f t="array" ref="N95">_xlfn.IFS(I95="Rob", "Robusta", I95="Exc", "Excelsa", I95="Ara", "Arabica", I95="Lib", "Liberica", TRUE, "")</f>
        <v>Excelsa</v>
      </c>
      <c r="O95" t="str" cm="1">
        <f t="array" ref="O95">_xlfn.IFS(J95="M", "Medium", J95="L", "Light", J95="D", "Dark", TRUE, "")</f>
        <v>Light</v>
      </c>
      <c r="P95" t="str">
        <f>_xlfn.XLOOKUP(Table1[[#This Row],[Customer ID]], customers!$A$1:$A$1001, customers!$I$1:$I$1001,, 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INDEX(Product!$A$1:$G$49,MATCH(orders!$D96,Product!$A$1:$A$49,0),MATCH(orders!I$1,Product!$A$1:$G$1,0))</f>
        <v>Ara</v>
      </c>
      <c r="J96" t="str">
        <f>INDEX(Product!$A$1:$G$49,MATCH(orders!$D96,Product!$A$1:$A$49,0),MATCH(orders!J$1,Product!$A$1:$G$1,0))</f>
        <v>D</v>
      </c>
      <c r="K96" s="4">
        <f>INDEX(Product!$A$1:$G$49,MATCH(orders!$D96,Product!$A$1:$A$49,0),MATCH(orders!K$1,Product!$A$1:$G$1,0))</f>
        <v>0.2</v>
      </c>
      <c r="L96" s="5">
        <f>INDEX(Product!$A$1:$G$49,MATCH(orders!$D96,Product!$A$1:$A$49,0),MATCH(orders!L$1,Product!$A$1:$G$1,0))</f>
        <v>2.9849999999999999</v>
      </c>
      <c r="M96" s="5">
        <f t="shared" si="1"/>
        <v>17.91</v>
      </c>
      <c r="N96" t="str" cm="1">
        <f t="array" ref="N96">_xlfn.IFS(I96="Rob", "Robusta", I96="Exc", "Excelsa", I96="Ara", "Arabica", I96="Lib", "Liberica", TRUE, "")</f>
        <v>Arabica</v>
      </c>
      <c r="O96" t="str" cm="1">
        <f t="array" ref="O96">_xlfn.IFS(J96="M", "Medium", J96="L", "Light", J96="D", "Dark", TRUE, "")</f>
        <v>Dark</v>
      </c>
      <c r="P96" t="str">
        <f>_xlfn.XLOOKUP(Table1[[#This Row],[Customer ID]], customers!$A$1:$A$1001, customers!$I$1:$I$1001,, 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INDEX(Product!$A$1:$G$49,MATCH(orders!$D97,Product!$A$1:$A$49,0),MATCH(orders!I$1,Product!$A$1:$G$1,0))</f>
        <v>Ara</v>
      </c>
      <c r="J97" t="str">
        <f>INDEX(Product!$A$1:$G$49,MATCH(orders!$D97,Product!$A$1:$A$49,0),MATCH(orders!J$1,Product!$A$1:$G$1,0))</f>
        <v>M</v>
      </c>
      <c r="K97" s="4">
        <f>INDEX(Product!$A$1:$G$49,MATCH(orders!$D97,Product!$A$1:$A$49,0),MATCH(orders!K$1,Product!$A$1:$G$1,0))</f>
        <v>2.5</v>
      </c>
      <c r="L97" s="5">
        <f>INDEX(Product!$A$1:$G$49,MATCH(orders!$D97,Product!$A$1:$A$49,0),MATCH(orders!L$1,Product!$A$1:$G$1,0))</f>
        <v>25.874999999999996</v>
      </c>
      <c r="M97" s="5">
        <f t="shared" si="1"/>
        <v>155.24999999999997</v>
      </c>
      <c r="N97" t="str" cm="1">
        <f t="array" ref="N97">_xlfn.IFS(I97="Rob", "Robusta", I97="Exc", "Excelsa", I97="Ara", "Arabica", I97="Lib", "Liberica", TRUE, "")</f>
        <v>Arabica</v>
      </c>
      <c r="O97" t="str" cm="1">
        <f t="array" ref="O97">_xlfn.IFS(J97="M", "Medium", J97="L", "Light", J97="D", "Dark", TRUE, "")</f>
        <v>Medium</v>
      </c>
      <c r="P97" t="str">
        <f>_xlfn.XLOOKUP(Table1[[#This Row],[Customer ID]], customers!$A$1:$A$1001, customers!$I$1:$I$1001,, 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INDEX(Product!$A$1:$G$49,MATCH(orders!$D98,Product!$A$1:$A$49,0),MATCH(orders!I$1,Product!$A$1:$G$1,0))</f>
        <v>Ara</v>
      </c>
      <c r="J98" t="str">
        <f>INDEX(Product!$A$1:$G$49,MATCH(orders!$D98,Product!$A$1:$A$49,0),MATCH(orders!J$1,Product!$A$1:$G$1,0))</f>
        <v>D</v>
      </c>
      <c r="K98" s="4">
        <f>INDEX(Product!$A$1:$G$49,MATCH(orders!$D98,Product!$A$1:$A$49,0),MATCH(orders!K$1,Product!$A$1:$G$1,0))</f>
        <v>0.2</v>
      </c>
      <c r="L98" s="5">
        <f>INDEX(Product!$A$1:$G$49,MATCH(orders!$D98,Product!$A$1:$A$49,0),MATCH(orders!L$1,Product!$A$1:$G$1,0))</f>
        <v>2.9849999999999999</v>
      </c>
      <c r="M98" s="5">
        <f t="shared" si="1"/>
        <v>5.97</v>
      </c>
      <c r="N98" t="str" cm="1">
        <f t="array" ref="N98">_xlfn.IFS(I98="Rob", "Robusta", I98="Exc", "Excelsa", I98="Ara", "Arabica", I98="Lib", "Liberica", TRUE, "")</f>
        <v>Arabica</v>
      </c>
      <c r="O98" t="str" cm="1">
        <f t="array" ref="O98">_xlfn.IFS(J98="M", "Medium", J98="L", "Light", J98="D", "Dark", TRUE, "")</f>
        <v>Dark</v>
      </c>
      <c r="P98" t="str">
        <f>_xlfn.XLOOKUP(Table1[[#This Row],[Customer ID]], customers!$A$1:$A$1001, customers!$I$1:$I$1001,, 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INDEX(Product!$A$1:$G$49,MATCH(orders!$D99,Product!$A$1:$A$49,0),MATCH(orders!I$1,Product!$A$1:$G$1,0))</f>
        <v>Ara</v>
      </c>
      <c r="J99" t="str">
        <f>INDEX(Product!$A$1:$G$49,MATCH(orders!$D99,Product!$A$1:$A$49,0),MATCH(orders!J$1,Product!$A$1:$G$1,0))</f>
        <v>M</v>
      </c>
      <c r="K99" s="4">
        <f>INDEX(Product!$A$1:$G$49,MATCH(orders!$D99,Product!$A$1:$A$49,0),MATCH(orders!K$1,Product!$A$1:$G$1,0))</f>
        <v>0.5</v>
      </c>
      <c r="L99" s="5">
        <f>INDEX(Product!$A$1:$G$49,MATCH(orders!$D99,Product!$A$1:$A$49,0),MATCH(orders!L$1,Product!$A$1:$G$1,0))</f>
        <v>6.75</v>
      </c>
      <c r="M99" s="5">
        <f t="shared" si="1"/>
        <v>13.5</v>
      </c>
      <c r="N99" t="str" cm="1">
        <f t="array" ref="N99">_xlfn.IFS(I99="Rob", "Robusta", I99="Exc", "Excelsa", I99="Ara", "Arabica", I99="Lib", "Liberica", TRUE, "")</f>
        <v>Arabica</v>
      </c>
      <c r="O99" t="str" cm="1">
        <f t="array" ref="O99">_xlfn.IFS(J99="M", "Medium", J99="L", "Light", J99="D", "Dark", TRUE, "")</f>
        <v>Medium</v>
      </c>
      <c r="P99" t="str">
        <f>_xlfn.XLOOKUP(Table1[[#This Row],[Customer ID]], customers!$A$1:$A$1001, customers!$I$1:$I$1001,, 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INDEX(Product!$A$1:$G$49,MATCH(orders!$D100,Product!$A$1:$A$49,0),MATCH(orders!I$1,Product!$A$1:$G$1,0))</f>
        <v>Ara</v>
      </c>
      <c r="J100" t="str">
        <f>INDEX(Product!$A$1:$G$49,MATCH(orders!$D100,Product!$A$1:$A$49,0),MATCH(orders!J$1,Product!$A$1:$G$1,0))</f>
        <v>D</v>
      </c>
      <c r="K100" s="4">
        <f>INDEX(Product!$A$1:$G$49,MATCH(orders!$D100,Product!$A$1:$A$49,0),MATCH(orders!K$1,Product!$A$1:$G$1,0))</f>
        <v>0.2</v>
      </c>
      <c r="L100" s="5">
        <f>INDEX(Product!$A$1:$G$49,MATCH(orders!$D100,Product!$A$1:$A$49,0),MATCH(orders!L$1,Product!$A$1:$G$1,0))</f>
        <v>2.9849999999999999</v>
      </c>
      <c r="M100" s="5">
        <f t="shared" si="1"/>
        <v>2.9849999999999999</v>
      </c>
      <c r="N100" t="str" cm="1">
        <f t="array" ref="N100">_xlfn.IFS(I100="Rob", "Robusta", I100="Exc", "Excelsa", I100="Ara", "Arabica", I100="Lib", "Liberica", TRUE, "")</f>
        <v>Arabica</v>
      </c>
      <c r="O100" t="str" cm="1">
        <f t="array" ref="O100">_xlfn.IFS(J100="M", "Medium", J100="L", "Light", J100="D", "Dark", TRUE, "")</f>
        <v>Dark</v>
      </c>
      <c r="P100" t="str">
        <f>_xlfn.XLOOKUP(Table1[[#This Row],[Customer ID]], customers!$A$1:$A$1001, customers!$I$1:$I$1001,, 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INDEX(Product!$A$1:$G$49,MATCH(orders!$D101,Product!$A$1:$A$49,0),MATCH(orders!I$1,Product!$A$1:$G$1,0))</f>
        <v>Lib</v>
      </c>
      <c r="J101" t="str">
        <f>INDEX(Product!$A$1:$G$49,MATCH(orders!$D101,Product!$A$1:$A$49,0),MATCH(orders!J$1,Product!$A$1:$G$1,0))</f>
        <v>M</v>
      </c>
      <c r="K101" s="4">
        <f>INDEX(Product!$A$1:$G$49,MATCH(orders!$D101,Product!$A$1:$A$49,0),MATCH(orders!K$1,Product!$A$1:$G$1,0))</f>
        <v>0.2</v>
      </c>
      <c r="L101" s="5">
        <f>INDEX(Product!$A$1:$G$49,MATCH(orders!$D101,Product!$A$1:$A$49,0),MATCH(orders!L$1,Product!$A$1:$G$1,0))</f>
        <v>4.3650000000000002</v>
      </c>
      <c r="M101" s="5">
        <f t="shared" si="1"/>
        <v>13.095000000000001</v>
      </c>
      <c r="N101" t="str" cm="1">
        <f t="array" ref="N101">_xlfn.IFS(I101="Rob", "Robusta", I101="Exc", "Excelsa", I101="Ara", "Arabica", I101="Lib", "Liberica", TRUE, "")</f>
        <v>Liberica</v>
      </c>
      <c r="O101" t="str" cm="1">
        <f t="array" ref="O101">_xlfn.IFS(J101="M", "Medium", J101="L", "Light", J101="D", "Dark", TRUE, "")</f>
        <v>Medium</v>
      </c>
      <c r="P101" t="str">
        <f>_xlfn.XLOOKUP(Table1[[#This Row],[Customer ID]], customers!$A$1:$A$1001, customers!$I$1:$I$1001,, 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INDEX(Product!$A$1:$G$49,MATCH(orders!$D102,Product!$A$1:$A$49,0),MATCH(orders!I$1,Product!$A$1:$G$1,0))</f>
        <v>Ara</v>
      </c>
      <c r="J102" t="str">
        <f>INDEX(Product!$A$1:$G$49,MATCH(orders!$D102,Product!$A$1:$A$49,0),MATCH(orders!J$1,Product!$A$1:$G$1,0))</f>
        <v>L</v>
      </c>
      <c r="K102" s="4">
        <f>INDEX(Product!$A$1:$G$49,MATCH(orders!$D102,Product!$A$1:$A$49,0),MATCH(orders!K$1,Product!$A$1:$G$1,0))</f>
        <v>0.2</v>
      </c>
      <c r="L102" s="5">
        <f>INDEX(Product!$A$1:$G$49,MATCH(orders!$D102,Product!$A$1:$A$49,0),MATCH(orders!L$1,Product!$A$1:$G$1,0))</f>
        <v>3.8849999999999998</v>
      </c>
      <c r="M102" s="5">
        <f t="shared" si="1"/>
        <v>7.77</v>
      </c>
      <c r="N102" t="str" cm="1">
        <f t="array" ref="N102">_xlfn.IFS(I102="Rob", "Robusta", I102="Exc", "Excelsa", I102="Ara", "Arabica", I102="Lib", "Liberica", TRUE, "")</f>
        <v>Arabica</v>
      </c>
      <c r="O102" t="str" cm="1">
        <f t="array" ref="O102">_xlfn.IFS(J102="M", "Medium", J102="L", "Light", J102="D", "Dark", TRUE, "")</f>
        <v>Light</v>
      </c>
      <c r="P102" t="str">
        <f>_xlfn.XLOOKUP(Table1[[#This Row],[Customer ID]], customers!$A$1:$A$1001, customers!$I$1:$I$1001,, 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INDEX(Product!$A$1:$G$49,MATCH(orders!$D103,Product!$A$1:$A$49,0),MATCH(orders!I$1,Product!$A$1:$G$1,0))</f>
        <v>Lib</v>
      </c>
      <c r="J103" t="str">
        <f>INDEX(Product!$A$1:$G$49,MATCH(orders!$D103,Product!$A$1:$A$49,0),MATCH(orders!J$1,Product!$A$1:$G$1,0))</f>
        <v>D</v>
      </c>
      <c r="K103" s="4">
        <f>INDEX(Product!$A$1:$G$49,MATCH(orders!$D103,Product!$A$1:$A$49,0),MATCH(orders!K$1,Product!$A$1:$G$1,0))</f>
        <v>2.5</v>
      </c>
      <c r="L103" s="5">
        <f>INDEX(Product!$A$1:$G$49,MATCH(orders!$D103,Product!$A$1:$A$49,0),MATCH(orders!L$1,Product!$A$1:$G$1,0))</f>
        <v>29.784999999999997</v>
      </c>
      <c r="M103" s="5">
        <f t="shared" si="1"/>
        <v>148.92499999999998</v>
      </c>
      <c r="N103" t="str" cm="1">
        <f t="array" ref="N103">_xlfn.IFS(I103="Rob", "Robusta", I103="Exc", "Excelsa", I103="Ara", "Arabica", I103="Lib", "Liberica", TRUE, "")</f>
        <v>Liberica</v>
      </c>
      <c r="O103" t="str" cm="1">
        <f t="array" ref="O103">_xlfn.IFS(J103="M", "Medium", J103="L", "Light", J103="D", "Dark", TRUE, "")</f>
        <v>Dark</v>
      </c>
      <c r="P103" t="str">
        <f>_xlfn.XLOOKUP(Table1[[#This Row],[Customer ID]], customers!$A$1:$A$1001, customers!$I$1:$I$1001,, 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INDEX(Product!$A$1:$G$49,MATCH(orders!$D104,Product!$A$1:$A$49,0),MATCH(orders!I$1,Product!$A$1:$G$1,0))</f>
        <v>Lib</v>
      </c>
      <c r="J104" t="str">
        <f>INDEX(Product!$A$1:$G$49,MATCH(orders!$D104,Product!$A$1:$A$49,0),MATCH(orders!J$1,Product!$A$1:$G$1,0))</f>
        <v>D</v>
      </c>
      <c r="K104" s="4">
        <f>INDEX(Product!$A$1:$G$49,MATCH(orders!$D104,Product!$A$1:$A$49,0),MATCH(orders!K$1,Product!$A$1:$G$1,0))</f>
        <v>1</v>
      </c>
      <c r="L104" s="5">
        <f>INDEX(Product!$A$1:$G$49,MATCH(orders!$D104,Product!$A$1:$A$49,0),MATCH(orders!L$1,Product!$A$1:$G$1,0))</f>
        <v>12.95</v>
      </c>
      <c r="M104" s="5">
        <f t="shared" si="1"/>
        <v>38.849999999999994</v>
      </c>
      <c r="N104" t="str" cm="1">
        <f t="array" ref="N104">_xlfn.IFS(I104="Rob", "Robusta", I104="Exc", "Excelsa", I104="Ara", "Arabica", I104="Lib", "Liberica", TRUE, "")</f>
        <v>Liberica</v>
      </c>
      <c r="O104" t="str" cm="1">
        <f t="array" ref="O104">_xlfn.IFS(J104="M", "Medium", J104="L", "Light", J104="D", "Dark", TRUE, "")</f>
        <v>Dark</v>
      </c>
      <c r="P104" t="str">
        <f>_xlfn.XLOOKUP(Table1[[#This Row],[Customer ID]], customers!$A$1:$A$1001, customers!$I$1:$I$1001,, 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INDEX(Product!$A$1:$G$49,MATCH(orders!$D105,Product!$A$1:$A$49,0),MATCH(orders!I$1,Product!$A$1:$G$1,0))</f>
        <v>Rob</v>
      </c>
      <c r="J105" t="str">
        <f>INDEX(Product!$A$1:$G$49,MATCH(orders!$D105,Product!$A$1:$A$49,0),MATCH(orders!J$1,Product!$A$1:$G$1,0))</f>
        <v>M</v>
      </c>
      <c r="K105" s="4">
        <f>INDEX(Product!$A$1:$G$49,MATCH(orders!$D105,Product!$A$1:$A$49,0),MATCH(orders!K$1,Product!$A$1:$G$1,0))</f>
        <v>0.2</v>
      </c>
      <c r="L105" s="5">
        <f>INDEX(Product!$A$1:$G$49,MATCH(orders!$D105,Product!$A$1:$A$49,0),MATCH(orders!L$1,Product!$A$1:$G$1,0))</f>
        <v>2.9849999999999999</v>
      </c>
      <c r="M105" s="5">
        <f t="shared" si="1"/>
        <v>11.94</v>
      </c>
      <c r="N105" t="str" cm="1">
        <f t="array" ref="N105">_xlfn.IFS(I105="Rob", "Robusta", I105="Exc", "Excelsa", I105="Ara", "Arabica", I105="Lib", "Liberica", TRUE, "")</f>
        <v>Robusta</v>
      </c>
      <c r="O105" t="str" cm="1">
        <f t="array" ref="O105">_xlfn.IFS(J105="M", "Medium", J105="L", "Light", J105="D", "Dark", TRUE, "")</f>
        <v>Medium</v>
      </c>
      <c r="P105" t="str">
        <f>_xlfn.XLOOKUP(Table1[[#This Row],[Customer ID]], customers!$A$1:$A$1001, customers!$I$1:$I$1001,, 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INDEX(Product!$A$1:$G$49,MATCH(orders!$D106,Product!$A$1:$A$49,0),MATCH(orders!I$1,Product!$A$1:$G$1,0))</f>
        <v>Lib</v>
      </c>
      <c r="J106" t="str">
        <f>INDEX(Product!$A$1:$G$49,MATCH(orders!$D106,Product!$A$1:$A$49,0),MATCH(orders!J$1,Product!$A$1:$G$1,0))</f>
        <v>M</v>
      </c>
      <c r="K106" s="4">
        <f>INDEX(Product!$A$1:$G$49,MATCH(orders!$D106,Product!$A$1:$A$49,0),MATCH(orders!K$1,Product!$A$1:$G$1,0))</f>
        <v>1</v>
      </c>
      <c r="L106" s="5">
        <f>INDEX(Product!$A$1:$G$49,MATCH(orders!$D106,Product!$A$1:$A$49,0),MATCH(orders!L$1,Product!$A$1:$G$1,0))</f>
        <v>14.55</v>
      </c>
      <c r="M106" s="5">
        <f t="shared" si="1"/>
        <v>87.300000000000011</v>
      </c>
      <c r="N106" t="str" cm="1">
        <f t="array" ref="N106">_xlfn.IFS(I106="Rob", "Robusta", I106="Exc", "Excelsa", I106="Ara", "Arabica", I106="Lib", "Liberica", TRUE, "")</f>
        <v>Liberica</v>
      </c>
      <c r="O106" t="str" cm="1">
        <f t="array" ref="O106">_xlfn.IFS(J106="M", "Medium", J106="L", "Light", J106="D", "Dark", TRUE, "")</f>
        <v>Medium</v>
      </c>
      <c r="P106" t="str">
        <f>_xlfn.XLOOKUP(Table1[[#This Row],[Customer ID]], customers!$A$1:$A$1001, customers!$I$1:$I$1001,, 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INDEX(Product!$A$1:$G$49,MATCH(orders!$D107,Product!$A$1:$A$49,0),MATCH(orders!I$1,Product!$A$1:$G$1,0))</f>
        <v>Ara</v>
      </c>
      <c r="J107" t="str">
        <f>INDEX(Product!$A$1:$G$49,MATCH(orders!$D107,Product!$A$1:$A$49,0),MATCH(orders!J$1,Product!$A$1:$G$1,0))</f>
        <v>M</v>
      </c>
      <c r="K107" s="4">
        <f>INDEX(Product!$A$1:$G$49,MATCH(orders!$D107,Product!$A$1:$A$49,0),MATCH(orders!K$1,Product!$A$1:$G$1,0))</f>
        <v>0.5</v>
      </c>
      <c r="L107" s="5">
        <f>INDEX(Product!$A$1:$G$49,MATCH(orders!$D107,Product!$A$1:$A$49,0),MATCH(orders!L$1,Product!$A$1:$G$1,0))</f>
        <v>6.75</v>
      </c>
      <c r="M107" s="5">
        <f t="shared" si="1"/>
        <v>40.5</v>
      </c>
      <c r="N107" t="str" cm="1">
        <f t="array" ref="N107">_xlfn.IFS(I107="Rob", "Robusta", I107="Exc", "Excelsa", I107="Ara", "Arabica", I107="Lib", "Liberica", TRUE, "")</f>
        <v>Arabica</v>
      </c>
      <c r="O107" t="str" cm="1">
        <f t="array" ref="O107">_xlfn.IFS(J107="M", "Medium", J107="L", "Light", J107="D", "Dark", TRUE, "")</f>
        <v>Medium</v>
      </c>
      <c r="P107" t="str">
        <f>_xlfn.XLOOKUP(Table1[[#This Row],[Customer ID]], customers!$A$1:$A$1001, customers!$I$1:$I$1001,, 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INDEX(Product!$A$1:$G$49,MATCH(orders!$D108,Product!$A$1:$A$49,0),MATCH(orders!I$1,Product!$A$1:$G$1,0))</f>
        <v>Exc</v>
      </c>
      <c r="J108" t="str">
        <f>INDEX(Product!$A$1:$G$49,MATCH(orders!$D108,Product!$A$1:$A$49,0),MATCH(orders!J$1,Product!$A$1:$G$1,0))</f>
        <v>D</v>
      </c>
      <c r="K108" s="4">
        <f>INDEX(Product!$A$1:$G$49,MATCH(orders!$D108,Product!$A$1:$A$49,0),MATCH(orders!K$1,Product!$A$1:$G$1,0))</f>
        <v>1</v>
      </c>
      <c r="L108" s="5">
        <f>INDEX(Product!$A$1:$G$49,MATCH(orders!$D108,Product!$A$1:$A$49,0),MATCH(orders!L$1,Product!$A$1:$G$1,0))</f>
        <v>12.15</v>
      </c>
      <c r="M108" s="5">
        <f t="shared" si="1"/>
        <v>24.3</v>
      </c>
      <c r="N108" t="str" cm="1">
        <f t="array" ref="N108">_xlfn.IFS(I108="Rob", "Robusta", I108="Exc", "Excelsa", I108="Ara", "Arabica", I108="Lib", "Liberica", TRUE, "")</f>
        <v>Excelsa</v>
      </c>
      <c r="O108" t="str" cm="1">
        <f t="array" ref="O108">_xlfn.IFS(J108="M", "Medium", J108="L", "Light", J108="D", "Dark", TRUE, "")</f>
        <v>Dark</v>
      </c>
      <c r="P108" t="str">
        <f>_xlfn.XLOOKUP(Table1[[#This Row],[Customer ID]], customers!$A$1:$A$1001, customers!$I$1:$I$1001,, 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INDEX(Product!$A$1:$G$49,MATCH(orders!$D109,Product!$A$1:$A$49,0),MATCH(orders!I$1,Product!$A$1:$G$1,0))</f>
        <v>Rob</v>
      </c>
      <c r="J109" t="str">
        <f>INDEX(Product!$A$1:$G$49,MATCH(orders!$D109,Product!$A$1:$A$49,0),MATCH(orders!J$1,Product!$A$1:$G$1,0))</f>
        <v>M</v>
      </c>
      <c r="K109" s="4">
        <f>INDEX(Product!$A$1:$G$49,MATCH(orders!$D109,Product!$A$1:$A$49,0),MATCH(orders!K$1,Product!$A$1:$G$1,0))</f>
        <v>0.5</v>
      </c>
      <c r="L109" s="5">
        <f>INDEX(Product!$A$1:$G$49,MATCH(orders!$D109,Product!$A$1:$A$49,0),MATCH(orders!L$1,Product!$A$1:$G$1,0))</f>
        <v>5.97</v>
      </c>
      <c r="M109" s="5">
        <f t="shared" si="1"/>
        <v>17.91</v>
      </c>
      <c r="N109" t="str" cm="1">
        <f t="array" ref="N109">_xlfn.IFS(I109="Rob", "Robusta", I109="Exc", "Excelsa", I109="Ara", "Arabica", I109="Lib", "Liberica", TRUE, "")</f>
        <v>Robusta</v>
      </c>
      <c r="O109" t="str" cm="1">
        <f t="array" ref="O109">_xlfn.IFS(J109="M", "Medium", J109="L", "Light", J109="D", "Dark", TRUE, "")</f>
        <v>Medium</v>
      </c>
      <c r="P109" t="str">
        <f>_xlfn.XLOOKUP(Table1[[#This Row],[Customer ID]], customers!$A$1:$A$1001, customers!$I$1:$I$1001,, 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INDEX(Product!$A$1:$G$49,MATCH(orders!$D110,Product!$A$1:$A$49,0),MATCH(orders!I$1,Product!$A$1:$G$1,0))</f>
        <v>Ara</v>
      </c>
      <c r="J110" t="str">
        <f>INDEX(Product!$A$1:$G$49,MATCH(orders!$D110,Product!$A$1:$A$49,0),MATCH(orders!J$1,Product!$A$1:$G$1,0))</f>
        <v>M</v>
      </c>
      <c r="K110" s="4">
        <f>INDEX(Product!$A$1:$G$49,MATCH(orders!$D110,Product!$A$1:$A$49,0),MATCH(orders!K$1,Product!$A$1:$G$1,0))</f>
        <v>0.5</v>
      </c>
      <c r="L110" s="5">
        <f>INDEX(Product!$A$1:$G$49,MATCH(orders!$D110,Product!$A$1:$A$49,0),MATCH(orders!L$1,Product!$A$1:$G$1,0))</f>
        <v>6.75</v>
      </c>
      <c r="M110" s="5">
        <f t="shared" si="1"/>
        <v>27</v>
      </c>
      <c r="N110" t="str" cm="1">
        <f t="array" ref="N110">_xlfn.IFS(I110="Rob", "Robusta", I110="Exc", "Excelsa", I110="Ara", "Arabica", I110="Lib", "Liberica", TRUE, "")</f>
        <v>Arabica</v>
      </c>
      <c r="O110" t="str" cm="1">
        <f t="array" ref="O110">_xlfn.IFS(J110="M", "Medium", J110="L", "Light", J110="D", "Dark", TRUE, "")</f>
        <v>Medium</v>
      </c>
      <c r="P110" t="str">
        <f>_xlfn.XLOOKUP(Table1[[#This Row],[Customer ID]], customers!$A$1:$A$1001, customers!$I$1:$I$1001,, 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INDEX(Product!$A$1:$G$49,MATCH(orders!$D111,Product!$A$1:$A$49,0),MATCH(orders!I$1,Product!$A$1:$G$1,0))</f>
        <v>Lib</v>
      </c>
      <c r="J111" t="str">
        <f>INDEX(Product!$A$1:$G$49,MATCH(orders!$D111,Product!$A$1:$A$49,0),MATCH(orders!J$1,Product!$A$1:$G$1,0))</f>
        <v>D</v>
      </c>
      <c r="K111" s="4">
        <f>INDEX(Product!$A$1:$G$49,MATCH(orders!$D111,Product!$A$1:$A$49,0),MATCH(orders!K$1,Product!$A$1:$G$1,0))</f>
        <v>0.5</v>
      </c>
      <c r="L111" s="5">
        <f>INDEX(Product!$A$1:$G$49,MATCH(orders!$D111,Product!$A$1:$A$49,0),MATCH(orders!L$1,Product!$A$1:$G$1,0))</f>
        <v>7.77</v>
      </c>
      <c r="M111" s="5">
        <f t="shared" si="1"/>
        <v>7.77</v>
      </c>
      <c r="N111" t="str" cm="1">
        <f t="array" ref="N111">_xlfn.IFS(I111="Rob", "Robusta", I111="Exc", "Excelsa", I111="Ara", "Arabica", I111="Lib", "Liberica", TRUE, "")</f>
        <v>Liberica</v>
      </c>
      <c r="O111" t="str" cm="1">
        <f t="array" ref="O111">_xlfn.IFS(J111="M", "Medium", J111="L", "Light", J111="D", "Dark", TRUE, "")</f>
        <v>Dark</v>
      </c>
      <c r="P111" t="str">
        <f>_xlfn.XLOOKUP(Table1[[#This Row],[Customer ID]], customers!$A$1:$A$1001, customers!$I$1:$I$1001,, 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INDEX(Product!$A$1:$G$49,MATCH(orders!$D112,Product!$A$1:$A$49,0),MATCH(orders!I$1,Product!$A$1:$G$1,0))</f>
        <v>Exc</v>
      </c>
      <c r="J112" t="str">
        <f>INDEX(Product!$A$1:$G$49,MATCH(orders!$D112,Product!$A$1:$A$49,0),MATCH(orders!J$1,Product!$A$1:$G$1,0))</f>
        <v>L</v>
      </c>
      <c r="K112" s="4">
        <f>INDEX(Product!$A$1:$G$49,MATCH(orders!$D112,Product!$A$1:$A$49,0),MATCH(orders!K$1,Product!$A$1:$G$1,0))</f>
        <v>0.2</v>
      </c>
      <c r="L112" s="5">
        <f>INDEX(Product!$A$1:$G$49,MATCH(orders!$D112,Product!$A$1:$A$49,0),MATCH(orders!L$1,Product!$A$1:$G$1,0))</f>
        <v>4.4550000000000001</v>
      </c>
      <c r="M112" s="5">
        <f t="shared" si="1"/>
        <v>13.365</v>
      </c>
      <c r="N112" t="str" cm="1">
        <f t="array" ref="N112">_xlfn.IFS(I112="Rob", "Robusta", I112="Exc", "Excelsa", I112="Ara", "Arabica", I112="Lib", "Liberica", TRUE, "")</f>
        <v>Excelsa</v>
      </c>
      <c r="O112" t="str" cm="1">
        <f t="array" ref="O112">_xlfn.IFS(J112="M", "Medium", J112="L", "Light", J112="D", "Dark", TRUE, "")</f>
        <v>Light</v>
      </c>
      <c r="P112" t="str">
        <f>_xlfn.XLOOKUP(Table1[[#This Row],[Customer ID]], customers!$A$1:$A$1001, customers!$I$1:$I$1001,, 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INDEX(Product!$A$1:$G$49,MATCH(orders!$D113,Product!$A$1:$A$49,0),MATCH(orders!I$1,Product!$A$1:$G$1,0))</f>
        <v>Rob</v>
      </c>
      <c r="J113" t="str">
        <f>INDEX(Product!$A$1:$G$49,MATCH(orders!$D113,Product!$A$1:$A$49,0),MATCH(orders!J$1,Product!$A$1:$G$1,0))</f>
        <v>D</v>
      </c>
      <c r="K113" s="4">
        <f>INDEX(Product!$A$1:$G$49,MATCH(orders!$D113,Product!$A$1:$A$49,0),MATCH(orders!K$1,Product!$A$1:$G$1,0))</f>
        <v>0.5</v>
      </c>
      <c r="L113" s="5">
        <f>INDEX(Product!$A$1:$G$49,MATCH(orders!$D113,Product!$A$1:$A$49,0),MATCH(orders!L$1,Product!$A$1:$G$1,0))</f>
        <v>5.3699999999999992</v>
      </c>
      <c r="M113" s="5">
        <f t="shared" si="1"/>
        <v>26.849999999999994</v>
      </c>
      <c r="N113" t="str" cm="1">
        <f t="array" ref="N113">_xlfn.IFS(I113="Rob", "Robusta", I113="Exc", "Excelsa", I113="Ara", "Arabica", I113="Lib", "Liberica", TRUE, "")</f>
        <v>Robusta</v>
      </c>
      <c r="O113" t="str" cm="1">
        <f t="array" ref="O113">_xlfn.IFS(J113="M", "Medium", J113="L", "Light", J113="D", "Dark", TRUE, "")</f>
        <v>Dark</v>
      </c>
      <c r="P113" t="str">
        <f>_xlfn.XLOOKUP(Table1[[#This Row],[Customer ID]], customers!$A$1:$A$1001, customers!$I$1:$I$1001,, 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INDEX(Product!$A$1:$G$49,MATCH(orders!$D114,Product!$A$1:$A$49,0),MATCH(orders!I$1,Product!$A$1:$G$1,0))</f>
        <v>Ara</v>
      </c>
      <c r="J114" t="str">
        <f>INDEX(Product!$A$1:$G$49,MATCH(orders!$D114,Product!$A$1:$A$49,0),MATCH(orders!J$1,Product!$A$1:$G$1,0))</f>
        <v>M</v>
      </c>
      <c r="K114" s="4">
        <f>INDEX(Product!$A$1:$G$49,MATCH(orders!$D114,Product!$A$1:$A$49,0),MATCH(orders!K$1,Product!$A$1:$G$1,0))</f>
        <v>1</v>
      </c>
      <c r="L114" s="5">
        <f>INDEX(Product!$A$1:$G$49,MATCH(orders!$D114,Product!$A$1:$A$49,0),MATCH(orders!L$1,Product!$A$1:$G$1,0))</f>
        <v>11.25</v>
      </c>
      <c r="M114" s="5">
        <f t="shared" si="1"/>
        <v>11.25</v>
      </c>
      <c r="N114" t="str" cm="1">
        <f t="array" ref="N114">_xlfn.IFS(I114="Rob", "Robusta", I114="Exc", "Excelsa", I114="Ara", "Arabica", I114="Lib", "Liberica", TRUE, "")</f>
        <v>Arabica</v>
      </c>
      <c r="O114" t="str" cm="1">
        <f t="array" ref="O114">_xlfn.IFS(J114="M", "Medium", J114="L", "Light", J114="D", "Dark", TRUE, "")</f>
        <v>Medium</v>
      </c>
      <c r="P114" t="str">
        <f>_xlfn.XLOOKUP(Table1[[#This Row],[Customer ID]], customers!$A$1:$A$1001, customers!$I$1:$I$1001,, 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INDEX(Product!$A$1:$G$49,MATCH(orders!$D115,Product!$A$1:$A$49,0),MATCH(orders!I$1,Product!$A$1:$G$1,0))</f>
        <v>Lib</v>
      </c>
      <c r="J115" t="str">
        <f>INDEX(Product!$A$1:$G$49,MATCH(orders!$D115,Product!$A$1:$A$49,0),MATCH(orders!J$1,Product!$A$1:$G$1,0))</f>
        <v>M</v>
      </c>
      <c r="K115" s="4">
        <f>INDEX(Product!$A$1:$G$49,MATCH(orders!$D115,Product!$A$1:$A$49,0),MATCH(orders!K$1,Product!$A$1:$G$1,0))</f>
        <v>1</v>
      </c>
      <c r="L115" s="5">
        <f>INDEX(Product!$A$1:$G$49,MATCH(orders!$D115,Product!$A$1:$A$49,0),MATCH(orders!L$1,Product!$A$1:$G$1,0))</f>
        <v>14.55</v>
      </c>
      <c r="M115" s="5">
        <f t="shared" si="1"/>
        <v>14.55</v>
      </c>
      <c r="N115" t="str" cm="1">
        <f t="array" ref="N115">_xlfn.IFS(I115="Rob", "Robusta", I115="Exc", "Excelsa", I115="Ara", "Arabica", I115="Lib", "Liberica", TRUE, "")</f>
        <v>Liberica</v>
      </c>
      <c r="O115" t="str" cm="1">
        <f t="array" ref="O115">_xlfn.IFS(J115="M", "Medium", J115="L", "Light", J115="D", "Dark", TRUE, "")</f>
        <v>Medium</v>
      </c>
      <c r="P115" t="str">
        <f>_xlfn.XLOOKUP(Table1[[#This Row],[Customer ID]], customers!$A$1:$A$1001, customers!$I$1:$I$1001,, 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INDEX(Product!$A$1:$G$49,MATCH(orders!$D116,Product!$A$1:$A$49,0),MATCH(orders!I$1,Product!$A$1:$G$1,0))</f>
        <v>Rob</v>
      </c>
      <c r="J116" t="str">
        <f>INDEX(Product!$A$1:$G$49,MATCH(orders!$D116,Product!$A$1:$A$49,0),MATCH(orders!J$1,Product!$A$1:$G$1,0))</f>
        <v>L</v>
      </c>
      <c r="K116" s="4">
        <f>INDEX(Product!$A$1:$G$49,MATCH(orders!$D116,Product!$A$1:$A$49,0),MATCH(orders!K$1,Product!$A$1:$G$1,0))</f>
        <v>0.2</v>
      </c>
      <c r="L116" s="5">
        <f>INDEX(Product!$A$1:$G$49,MATCH(orders!$D116,Product!$A$1:$A$49,0),MATCH(orders!L$1,Product!$A$1:$G$1,0))</f>
        <v>3.5849999999999995</v>
      </c>
      <c r="M116" s="5">
        <f t="shared" si="1"/>
        <v>14.339999999999998</v>
      </c>
      <c r="N116" t="str" cm="1">
        <f t="array" ref="N116">_xlfn.IFS(I116="Rob", "Robusta", I116="Exc", "Excelsa", I116="Ara", "Arabica", I116="Lib", "Liberica", TRUE, "")</f>
        <v>Robusta</v>
      </c>
      <c r="O116" t="str" cm="1">
        <f t="array" ref="O116">_xlfn.IFS(J116="M", "Medium", J116="L", "Light", J116="D", "Dark", TRUE, "")</f>
        <v>Light</v>
      </c>
      <c r="P116" t="str">
        <f>_xlfn.XLOOKUP(Table1[[#This Row],[Customer ID]], customers!$A$1:$A$1001, customers!$I$1:$I$1001,, 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INDEX(Product!$A$1:$G$49,MATCH(orders!$D117,Product!$A$1:$A$49,0),MATCH(orders!I$1,Product!$A$1:$G$1,0))</f>
        <v>Lib</v>
      </c>
      <c r="J117" t="str">
        <f>INDEX(Product!$A$1:$G$49,MATCH(orders!$D117,Product!$A$1:$A$49,0),MATCH(orders!J$1,Product!$A$1:$G$1,0))</f>
        <v>L</v>
      </c>
      <c r="K117" s="4">
        <f>INDEX(Product!$A$1:$G$49,MATCH(orders!$D117,Product!$A$1:$A$49,0),MATCH(orders!K$1,Product!$A$1:$G$1,0))</f>
        <v>1</v>
      </c>
      <c r="L117" s="5">
        <f>INDEX(Product!$A$1:$G$49,MATCH(orders!$D117,Product!$A$1:$A$49,0),MATCH(orders!L$1,Product!$A$1:$G$1,0))</f>
        <v>15.85</v>
      </c>
      <c r="M117" s="5">
        <f t="shared" si="1"/>
        <v>15.85</v>
      </c>
      <c r="N117" t="str" cm="1">
        <f t="array" ref="N117">_xlfn.IFS(I117="Rob", "Robusta", I117="Exc", "Excelsa", I117="Ara", "Arabica", I117="Lib", "Liberica", TRUE, "")</f>
        <v>Liberica</v>
      </c>
      <c r="O117" t="str" cm="1">
        <f t="array" ref="O117">_xlfn.IFS(J117="M", "Medium", J117="L", "Light", J117="D", "Dark", TRUE, "")</f>
        <v>Light</v>
      </c>
      <c r="P117" t="str">
        <f>_xlfn.XLOOKUP(Table1[[#This Row],[Customer ID]], customers!$A$1:$A$1001, customers!$I$1:$I$1001,, 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INDEX(Product!$A$1:$G$49,MATCH(orders!$D118,Product!$A$1:$A$49,0),MATCH(orders!I$1,Product!$A$1:$G$1,0))</f>
        <v>Lib</v>
      </c>
      <c r="J118" t="str">
        <f>INDEX(Product!$A$1:$G$49,MATCH(orders!$D118,Product!$A$1:$A$49,0),MATCH(orders!J$1,Product!$A$1:$G$1,0))</f>
        <v>L</v>
      </c>
      <c r="K118" s="4">
        <f>INDEX(Product!$A$1:$G$49,MATCH(orders!$D118,Product!$A$1:$A$49,0),MATCH(orders!K$1,Product!$A$1:$G$1,0))</f>
        <v>0.2</v>
      </c>
      <c r="L118" s="5">
        <f>INDEX(Product!$A$1:$G$49,MATCH(orders!$D118,Product!$A$1:$A$49,0),MATCH(orders!L$1,Product!$A$1:$G$1,0))</f>
        <v>4.7549999999999999</v>
      </c>
      <c r="M118" s="5">
        <f t="shared" si="1"/>
        <v>19.02</v>
      </c>
      <c r="N118" t="str" cm="1">
        <f t="array" ref="N118">_xlfn.IFS(I118="Rob", "Robusta", I118="Exc", "Excelsa", I118="Ara", "Arabica", I118="Lib", "Liberica", TRUE, "")</f>
        <v>Liberica</v>
      </c>
      <c r="O118" t="str" cm="1">
        <f t="array" ref="O118">_xlfn.IFS(J118="M", "Medium", J118="L", "Light", J118="D", "Dark", TRUE, "")</f>
        <v>Light</v>
      </c>
      <c r="P118" t="str">
        <f>_xlfn.XLOOKUP(Table1[[#This Row],[Customer ID]], customers!$A$1:$A$1001, customers!$I$1:$I$1001,, 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INDEX(Product!$A$1:$G$49,MATCH(orders!$D119,Product!$A$1:$A$49,0),MATCH(orders!I$1,Product!$A$1:$G$1,0))</f>
        <v>Lib</v>
      </c>
      <c r="J119" t="str">
        <f>INDEX(Product!$A$1:$G$49,MATCH(orders!$D119,Product!$A$1:$A$49,0),MATCH(orders!J$1,Product!$A$1:$G$1,0))</f>
        <v>L</v>
      </c>
      <c r="K119" s="4">
        <f>INDEX(Product!$A$1:$G$49,MATCH(orders!$D119,Product!$A$1:$A$49,0),MATCH(orders!K$1,Product!$A$1:$G$1,0))</f>
        <v>0.5</v>
      </c>
      <c r="L119" s="5">
        <f>INDEX(Product!$A$1:$G$49,MATCH(orders!$D119,Product!$A$1:$A$49,0),MATCH(orders!L$1,Product!$A$1:$G$1,0))</f>
        <v>9.51</v>
      </c>
      <c r="M119" s="5">
        <f t="shared" si="1"/>
        <v>38.04</v>
      </c>
      <c r="N119" t="str" cm="1">
        <f t="array" ref="N119">_xlfn.IFS(I119="Rob", "Robusta", I119="Exc", "Excelsa", I119="Ara", "Arabica", I119="Lib", "Liberica", TRUE, "")</f>
        <v>Liberica</v>
      </c>
      <c r="O119" t="str" cm="1">
        <f t="array" ref="O119">_xlfn.IFS(J119="M", "Medium", J119="L", "Light", J119="D", "Dark", TRUE, "")</f>
        <v>Light</v>
      </c>
      <c r="P119" t="str">
        <f>_xlfn.XLOOKUP(Table1[[#This Row],[Customer ID]], customers!$A$1:$A$1001, customers!$I$1:$I$1001,, 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INDEX(Product!$A$1:$G$49,MATCH(orders!$D120,Product!$A$1:$A$49,0),MATCH(orders!I$1,Product!$A$1:$G$1,0))</f>
        <v>Exc</v>
      </c>
      <c r="J120" t="str">
        <f>INDEX(Product!$A$1:$G$49,MATCH(orders!$D120,Product!$A$1:$A$49,0),MATCH(orders!J$1,Product!$A$1:$G$1,0))</f>
        <v>D</v>
      </c>
      <c r="K120" s="4">
        <f>INDEX(Product!$A$1:$G$49,MATCH(orders!$D120,Product!$A$1:$A$49,0),MATCH(orders!K$1,Product!$A$1:$G$1,0))</f>
        <v>0.5</v>
      </c>
      <c r="L120" s="5">
        <f>INDEX(Product!$A$1:$G$49,MATCH(orders!$D120,Product!$A$1:$A$49,0),MATCH(orders!L$1,Product!$A$1:$G$1,0))</f>
        <v>7.29</v>
      </c>
      <c r="M120" s="5">
        <f t="shared" si="1"/>
        <v>21.87</v>
      </c>
      <c r="N120" t="str" cm="1">
        <f t="array" ref="N120">_xlfn.IFS(I120="Rob", "Robusta", I120="Exc", "Excelsa", I120="Ara", "Arabica", I120="Lib", "Liberica", TRUE, "")</f>
        <v>Excelsa</v>
      </c>
      <c r="O120" t="str" cm="1">
        <f t="array" ref="O120">_xlfn.IFS(J120="M", "Medium", J120="L", "Light", J120="D", "Dark", TRUE, "")</f>
        <v>Dark</v>
      </c>
      <c r="P120" t="str">
        <f>_xlfn.XLOOKUP(Table1[[#This Row],[Customer ID]], customers!$A$1:$A$1001, customers!$I$1:$I$1001,, 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INDEX(Product!$A$1:$G$49,MATCH(orders!$D121,Product!$A$1:$A$49,0),MATCH(orders!I$1,Product!$A$1:$G$1,0))</f>
        <v>Exc</v>
      </c>
      <c r="J121" t="str">
        <f>INDEX(Product!$A$1:$G$49,MATCH(orders!$D121,Product!$A$1:$A$49,0),MATCH(orders!J$1,Product!$A$1:$G$1,0))</f>
        <v>M</v>
      </c>
      <c r="K121" s="4">
        <f>INDEX(Product!$A$1:$G$49,MATCH(orders!$D121,Product!$A$1:$A$49,0),MATCH(orders!K$1,Product!$A$1:$G$1,0))</f>
        <v>0.2</v>
      </c>
      <c r="L121" s="5">
        <f>INDEX(Product!$A$1:$G$49,MATCH(orders!$D121,Product!$A$1:$A$49,0),MATCH(orders!L$1,Product!$A$1:$G$1,0))</f>
        <v>4.125</v>
      </c>
      <c r="M121" s="5">
        <f t="shared" si="1"/>
        <v>4.125</v>
      </c>
      <c r="N121" t="str" cm="1">
        <f t="array" ref="N121">_xlfn.IFS(I121="Rob", "Robusta", I121="Exc", "Excelsa", I121="Ara", "Arabica", I121="Lib", "Liberica", TRUE, "")</f>
        <v>Excelsa</v>
      </c>
      <c r="O121" t="str" cm="1">
        <f t="array" ref="O121">_xlfn.IFS(J121="M", "Medium", J121="L", "Light", J121="D", "Dark", TRUE, "")</f>
        <v>Medium</v>
      </c>
      <c r="P121" t="str">
        <f>_xlfn.XLOOKUP(Table1[[#This Row],[Customer ID]], customers!$A$1:$A$1001, customers!$I$1:$I$1001,, 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INDEX(Product!$A$1:$G$49,MATCH(orders!$D122,Product!$A$1:$A$49,0),MATCH(orders!I$1,Product!$A$1:$G$1,0))</f>
        <v>Ara</v>
      </c>
      <c r="J122" t="str">
        <f>INDEX(Product!$A$1:$G$49,MATCH(orders!$D122,Product!$A$1:$A$49,0),MATCH(orders!J$1,Product!$A$1:$G$1,0))</f>
        <v>L</v>
      </c>
      <c r="K122" s="4">
        <f>INDEX(Product!$A$1:$G$49,MATCH(orders!$D122,Product!$A$1:$A$49,0),MATCH(orders!K$1,Product!$A$1:$G$1,0))</f>
        <v>0.2</v>
      </c>
      <c r="L122" s="5">
        <f>INDEX(Product!$A$1:$G$49,MATCH(orders!$D122,Product!$A$1:$A$49,0),MATCH(orders!L$1,Product!$A$1:$G$1,0))</f>
        <v>3.8849999999999998</v>
      </c>
      <c r="M122" s="5">
        <f t="shared" si="1"/>
        <v>3.8849999999999998</v>
      </c>
      <c r="N122" t="str" cm="1">
        <f t="array" ref="N122">_xlfn.IFS(I122="Rob", "Robusta", I122="Exc", "Excelsa", I122="Ara", "Arabica", I122="Lib", "Liberica", TRUE, "")</f>
        <v>Arabica</v>
      </c>
      <c r="O122" t="str" cm="1">
        <f t="array" ref="O122">_xlfn.IFS(J122="M", "Medium", J122="L", "Light", J122="D", "Dark", TRUE, "")</f>
        <v>Light</v>
      </c>
      <c r="P122" t="str">
        <f>_xlfn.XLOOKUP(Table1[[#This Row],[Customer ID]], customers!$A$1:$A$1001, customers!$I$1:$I$1001,, 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INDEX(Product!$A$1:$G$49,MATCH(orders!$D123,Product!$A$1:$A$49,0),MATCH(orders!I$1,Product!$A$1:$G$1,0))</f>
        <v>Exc</v>
      </c>
      <c r="J123" t="str">
        <f>INDEX(Product!$A$1:$G$49,MATCH(orders!$D123,Product!$A$1:$A$49,0),MATCH(orders!J$1,Product!$A$1:$G$1,0))</f>
        <v>M</v>
      </c>
      <c r="K123" s="4">
        <f>INDEX(Product!$A$1:$G$49,MATCH(orders!$D123,Product!$A$1:$A$49,0),MATCH(orders!K$1,Product!$A$1:$G$1,0))</f>
        <v>1</v>
      </c>
      <c r="L123" s="5">
        <f>INDEX(Product!$A$1:$G$49,MATCH(orders!$D123,Product!$A$1:$A$49,0),MATCH(orders!L$1,Product!$A$1:$G$1,0))</f>
        <v>13.75</v>
      </c>
      <c r="M123" s="5">
        <f t="shared" si="1"/>
        <v>68.75</v>
      </c>
      <c r="N123" t="str" cm="1">
        <f t="array" ref="N123">_xlfn.IFS(I123="Rob", "Robusta", I123="Exc", "Excelsa", I123="Ara", "Arabica", I123="Lib", "Liberica", TRUE, "")</f>
        <v>Excelsa</v>
      </c>
      <c r="O123" t="str" cm="1">
        <f t="array" ref="O123">_xlfn.IFS(J123="M", "Medium", J123="L", "Light", J123="D", "Dark", TRUE, "")</f>
        <v>Medium</v>
      </c>
      <c r="P123" t="str">
        <f>_xlfn.XLOOKUP(Table1[[#This Row],[Customer ID]], customers!$A$1:$A$1001, customers!$I$1:$I$1001,, 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INDEX(Product!$A$1:$G$49,MATCH(orders!$D124,Product!$A$1:$A$49,0),MATCH(orders!I$1,Product!$A$1:$G$1,0))</f>
        <v>Ara</v>
      </c>
      <c r="J124" t="str">
        <f>INDEX(Product!$A$1:$G$49,MATCH(orders!$D124,Product!$A$1:$A$49,0),MATCH(orders!J$1,Product!$A$1:$G$1,0))</f>
        <v>D</v>
      </c>
      <c r="K124" s="4">
        <f>INDEX(Product!$A$1:$G$49,MATCH(orders!$D124,Product!$A$1:$A$49,0),MATCH(orders!K$1,Product!$A$1:$G$1,0))</f>
        <v>0.5</v>
      </c>
      <c r="L124" s="5">
        <f>INDEX(Product!$A$1:$G$49,MATCH(orders!$D124,Product!$A$1:$A$49,0),MATCH(orders!L$1,Product!$A$1:$G$1,0))</f>
        <v>5.97</v>
      </c>
      <c r="M124" s="5">
        <f t="shared" si="1"/>
        <v>23.88</v>
      </c>
      <c r="N124" t="str" cm="1">
        <f t="array" ref="N124">_xlfn.IFS(I124="Rob", "Robusta", I124="Exc", "Excelsa", I124="Ara", "Arabica", I124="Lib", "Liberica", TRUE, "")</f>
        <v>Arabica</v>
      </c>
      <c r="O124" t="str" cm="1">
        <f t="array" ref="O124">_xlfn.IFS(J124="M", "Medium", J124="L", "Light", J124="D", "Dark", TRUE, "")</f>
        <v>Dark</v>
      </c>
      <c r="P124" t="str">
        <f>_xlfn.XLOOKUP(Table1[[#This Row],[Customer ID]], customers!$A$1:$A$1001, customers!$I$1:$I$1001,, 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INDEX(Product!$A$1:$G$49,MATCH(orders!$D125,Product!$A$1:$A$49,0),MATCH(orders!I$1,Product!$A$1:$G$1,0))</f>
        <v>Lib</v>
      </c>
      <c r="J125" t="str">
        <f>INDEX(Product!$A$1:$G$49,MATCH(orders!$D125,Product!$A$1:$A$49,0),MATCH(orders!J$1,Product!$A$1:$G$1,0))</f>
        <v>L</v>
      </c>
      <c r="K125" s="4">
        <f>INDEX(Product!$A$1:$G$49,MATCH(orders!$D125,Product!$A$1:$A$49,0),MATCH(orders!K$1,Product!$A$1:$G$1,0))</f>
        <v>2.5</v>
      </c>
      <c r="L125" s="5">
        <f>INDEX(Product!$A$1:$G$49,MATCH(orders!$D125,Product!$A$1:$A$49,0),MATCH(orders!L$1,Product!$A$1:$G$1,0))</f>
        <v>36.454999999999998</v>
      </c>
      <c r="M125" s="5">
        <f t="shared" si="1"/>
        <v>145.82</v>
      </c>
      <c r="N125" t="str" cm="1">
        <f t="array" ref="N125">_xlfn.IFS(I125="Rob", "Robusta", I125="Exc", "Excelsa", I125="Ara", "Arabica", I125="Lib", "Liberica", TRUE, "")</f>
        <v>Liberica</v>
      </c>
      <c r="O125" t="str" cm="1">
        <f t="array" ref="O125">_xlfn.IFS(J125="M", "Medium", J125="L", "Light", J125="D", "Dark", TRUE, "")</f>
        <v>Light</v>
      </c>
      <c r="P125" t="str">
        <f>_xlfn.XLOOKUP(Table1[[#This Row],[Customer ID]], customers!$A$1:$A$1001, customers!$I$1:$I$1001,, 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INDEX(Product!$A$1:$G$49,MATCH(orders!$D126,Product!$A$1:$A$49,0),MATCH(orders!I$1,Product!$A$1:$G$1,0))</f>
        <v>Lib</v>
      </c>
      <c r="J126" t="str">
        <f>INDEX(Product!$A$1:$G$49,MATCH(orders!$D126,Product!$A$1:$A$49,0),MATCH(orders!J$1,Product!$A$1:$G$1,0))</f>
        <v>M</v>
      </c>
      <c r="K126" s="4">
        <f>INDEX(Product!$A$1:$G$49,MATCH(orders!$D126,Product!$A$1:$A$49,0),MATCH(orders!K$1,Product!$A$1:$G$1,0))</f>
        <v>0.2</v>
      </c>
      <c r="L126" s="5">
        <f>INDEX(Product!$A$1:$G$49,MATCH(orders!$D126,Product!$A$1:$A$49,0),MATCH(orders!L$1,Product!$A$1:$G$1,0))</f>
        <v>4.3650000000000002</v>
      </c>
      <c r="M126" s="5">
        <f t="shared" si="1"/>
        <v>21.825000000000003</v>
      </c>
      <c r="N126" t="str" cm="1">
        <f t="array" ref="N126">_xlfn.IFS(I126="Rob", "Robusta", I126="Exc", "Excelsa", I126="Ara", "Arabica", I126="Lib", "Liberica", TRUE, "")</f>
        <v>Liberica</v>
      </c>
      <c r="O126" t="str" cm="1">
        <f t="array" ref="O126">_xlfn.IFS(J126="M", "Medium", J126="L", "Light", J126="D", "Dark", TRUE, "")</f>
        <v>Medium</v>
      </c>
      <c r="P126" t="str">
        <f>_xlfn.XLOOKUP(Table1[[#This Row],[Customer ID]], customers!$A$1:$A$1001, customers!$I$1:$I$1001,, 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INDEX(Product!$A$1:$G$49,MATCH(orders!$D127,Product!$A$1:$A$49,0),MATCH(orders!I$1,Product!$A$1:$G$1,0))</f>
        <v>Lib</v>
      </c>
      <c r="J127" t="str">
        <f>INDEX(Product!$A$1:$G$49,MATCH(orders!$D127,Product!$A$1:$A$49,0),MATCH(orders!J$1,Product!$A$1:$G$1,0))</f>
        <v>M</v>
      </c>
      <c r="K127" s="4">
        <f>INDEX(Product!$A$1:$G$49,MATCH(orders!$D127,Product!$A$1:$A$49,0),MATCH(orders!K$1,Product!$A$1:$G$1,0))</f>
        <v>0.5</v>
      </c>
      <c r="L127" s="5">
        <f>INDEX(Product!$A$1:$G$49,MATCH(orders!$D127,Product!$A$1:$A$49,0),MATCH(orders!L$1,Product!$A$1:$G$1,0))</f>
        <v>8.73</v>
      </c>
      <c r="M127" s="5">
        <f t="shared" si="1"/>
        <v>26.19</v>
      </c>
      <c r="N127" t="str" cm="1">
        <f t="array" ref="N127">_xlfn.IFS(I127="Rob", "Robusta", I127="Exc", "Excelsa", I127="Ara", "Arabica", I127="Lib", "Liberica", TRUE, "")</f>
        <v>Liberica</v>
      </c>
      <c r="O127" t="str" cm="1">
        <f t="array" ref="O127">_xlfn.IFS(J127="M", "Medium", J127="L", "Light", J127="D", "Dark", TRUE, "")</f>
        <v>Medium</v>
      </c>
      <c r="P127" t="str">
        <f>_xlfn.XLOOKUP(Table1[[#This Row],[Customer ID]], customers!$A$1:$A$1001, customers!$I$1:$I$1001,, 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INDEX(Product!$A$1:$G$49,MATCH(orders!$D128,Product!$A$1:$A$49,0),MATCH(orders!I$1,Product!$A$1:$G$1,0))</f>
        <v>Ara</v>
      </c>
      <c r="J128" t="str">
        <f>INDEX(Product!$A$1:$G$49,MATCH(orders!$D128,Product!$A$1:$A$49,0),MATCH(orders!J$1,Product!$A$1:$G$1,0))</f>
        <v>M</v>
      </c>
      <c r="K128" s="4">
        <f>INDEX(Product!$A$1:$G$49,MATCH(orders!$D128,Product!$A$1:$A$49,0),MATCH(orders!K$1,Product!$A$1:$G$1,0))</f>
        <v>1</v>
      </c>
      <c r="L128" s="5">
        <f>INDEX(Product!$A$1:$G$49,MATCH(orders!$D128,Product!$A$1:$A$49,0),MATCH(orders!L$1,Product!$A$1:$G$1,0))</f>
        <v>11.25</v>
      </c>
      <c r="M128" s="5">
        <f t="shared" si="1"/>
        <v>11.25</v>
      </c>
      <c r="N128" t="str" cm="1">
        <f t="array" ref="N128">_xlfn.IFS(I128="Rob", "Robusta", I128="Exc", "Excelsa", I128="Ara", "Arabica", I128="Lib", "Liberica", TRUE, "")</f>
        <v>Arabica</v>
      </c>
      <c r="O128" t="str" cm="1">
        <f t="array" ref="O128">_xlfn.IFS(J128="M", "Medium", J128="L", "Light", J128="D", "Dark", TRUE, "")</f>
        <v>Medium</v>
      </c>
      <c r="P128" t="str">
        <f>_xlfn.XLOOKUP(Table1[[#This Row],[Customer ID]], customers!$A$1:$A$1001, customers!$I$1:$I$1001,, 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INDEX(Product!$A$1:$G$49,MATCH(orders!$D129,Product!$A$1:$A$49,0),MATCH(orders!I$1,Product!$A$1:$G$1,0))</f>
        <v>Lib</v>
      </c>
      <c r="J129" t="str">
        <f>INDEX(Product!$A$1:$G$49,MATCH(orders!$D129,Product!$A$1:$A$49,0),MATCH(orders!J$1,Product!$A$1:$G$1,0))</f>
        <v>D</v>
      </c>
      <c r="K129" s="4">
        <f>INDEX(Product!$A$1:$G$49,MATCH(orders!$D129,Product!$A$1:$A$49,0),MATCH(orders!K$1,Product!$A$1:$G$1,0))</f>
        <v>1</v>
      </c>
      <c r="L129" s="5">
        <f>INDEX(Product!$A$1:$G$49,MATCH(orders!$D129,Product!$A$1:$A$49,0),MATCH(orders!L$1,Product!$A$1:$G$1,0))</f>
        <v>12.95</v>
      </c>
      <c r="M129" s="5">
        <f t="shared" si="1"/>
        <v>77.699999999999989</v>
      </c>
      <c r="N129" t="str" cm="1">
        <f t="array" ref="N129">_xlfn.IFS(I129="Rob", "Robusta", I129="Exc", "Excelsa", I129="Ara", "Arabica", I129="Lib", "Liberica", TRUE, "")</f>
        <v>Liberica</v>
      </c>
      <c r="O129" t="str" cm="1">
        <f t="array" ref="O129">_xlfn.IFS(J129="M", "Medium", J129="L", "Light", J129="D", "Dark", TRUE, "")</f>
        <v>Dark</v>
      </c>
      <c r="P129" t="str">
        <f>_xlfn.XLOOKUP(Table1[[#This Row],[Customer ID]], customers!$A$1:$A$1001, customers!$I$1:$I$1001,, 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INDEX(Product!$A$1:$G$49,MATCH(orders!$D130,Product!$A$1:$A$49,0),MATCH(orders!I$1,Product!$A$1:$G$1,0))</f>
        <v>Ara</v>
      </c>
      <c r="J130" t="str">
        <f>INDEX(Product!$A$1:$G$49,MATCH(orders!$D130,Product!$A$1:$A$49,0),MATCH(orders!J$1,Product!$A$1:$G$1,0))</f>
        <v>M</v>
      </c>
      <c r="K130" s="4">
        <f>INDEX(Product!$A$1:$G$49,MATCH(orders!$D130,Product!$A$1:$A$49,0),MATCH(orders!K$1,Product!$A$1:$G$1,0))</f>
        <v>0.5</v>
      </c>
      <c r="L130" s="5">
        <f>INDEX(Product!$A$1:$G$49,MATCH(orders!$D130,Product!$A$1:$A$49,0),MATCH(orders!L$1,Product!$A$1:$G$1,0))</f>
        <v>6.75</v>
      </c>
      <c r="M130" s="5">
        <f t="shared" ref="M130:M193" si="2">L130*E130</f>
        <v>6.75</v>
      </c>
      <c r="N130" t="str" cm="1">
        <f t="array" ref="N130">_xlfn.IFS(I130="Rob", "Robusta", I130="Exc", "Excelsa", I130="Ara", "Arabica", I130="Lib", "Liberica", TRUE, "")</f>
        <v>Arabica</v>
      </c>
      <c r="O130" t="str" cm="1">
        <f t="array" ref="O130">_xlfn.IFS(J130="M", "Medium", J130="L", "Light", J130="D", "Dark", TRUE, "")</f>
        <v>Medium</v>
      </c>
      <c r="P130" t="str">
        <f>_xlfn.XLOOKUP(Table1[[#This Row],[Customer ID]], customers!$A$1:$A$1001, customers!$I$1:$I$1001,, 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INDEX(Product!$A$1:$G$49,MATCH(orders!$D131,Product!$A$1:$A$49,0),MATCH(orders!I$1,Product!$A$1:$G$1,0))</f>
        <v>Exc</v>
      </c>
      <c r="J131" t="str">
        <f>INDEX(Product!$A$1:$G$49,MATCH(orders!$D131,Product!$A$1:$A$49,0),MATCH(orders!J$1,Product!$A$1:$G$1,0))</f>
        <v>D</v>
      </c>
      <c r="K131" s="4">
        <f>INDEX(Product!$A$1:$G$49,MATCH(orders!$D131,Product!$A$1:$A$49,0),MATCH(orders!K$1,Product!$A$1:$G$1,0))</f>
        <v>1</v>
      </c>
      <c r="L131" s="5">
        <f>INDEX(Product!$A$1:$G$49,MATCH(orders!$D131,Product!$A$1:$A$49,0),MATCH(orders!L$1,Product!$A$1:$G$1,0))</f>
        <v>12.15</v>
      </c>
      <c r="M131" s="5">
        <f t="shared" si="2"/>
        <v>12.15</v>
      </c>
      <c r="N131" t="str" cm="1">
        <f t="array" ref="N131">_xlfn.IFS(I131="Rob", "Robusta", I131="Exc", "Excelsa", I131="Ara", "Arabica", I131="Lib", "Liberica", TRUE, "")</f>
        <v>Excelsa</v>
      </c>
      <c r="O131" t="str" cm="1">
        <f t="array" ref="O131">_xlfn.IFS(J131="M", "Medium", J131="L", "Light", J131="D", "Dark", TRUE, "")</f>
        <v>Dark</v>
      </c>
      <c r="P131" t="str">
        <f>_xlfn.XLOOKUP(Table1[[#This Row],[Customer ID]], customers!$A$1:$A$1001, customers!$I$1:$I$1001,, 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INDEX(Product!$A$1:$G$49,MATCH(orders!$D132,Product!$A$1:$A$49,0),MATCH(orders!I$1,Product!$A$1:$G$1,0))</f>
        <v>Ara</v>
      </c>
      <c r="J132" t="str">
        <f>INDEX(Product!$A$1:$G$49,MATCH(orders!$D132,Product!$A$1:$A$49,0),MATCH(orders!J$1,Product!$A$1:$G$1,0))</f>
        <v>L</v>
      </c>
      <c r="K132" s="4">
        <f>INDEX(Product!$A$1:$G$49,MATCH(orders!$D132,Product!$A$1:$A$49,0),MATCH(orders!K$1,Product!$A$1:$G$1,0))</f>
        <v>2.5</v>
      </c>
      <c r="L132" s="5">
        <f>INDEX(Product!$A$1:$G$49,MATCH(orders!$D132,Product!$A$1:$A$49,0),MATCH(orders!L$1,Product!$A$1:$G$1,0))</f>
        <v>29.784999999999997</v>
      </c>
      <c r="M132" s="5">
        <f t="shared" si="2"/>
        <v>148.92499999999998</v>
      </c>
      <c r="N132" t="str" cm="1">
        <f t="array" ref="N132">_xlfn.IFS(I132="Rob", "Robusta", I132="Exc", "Excelsa", I132="Ara", "Arabica", I132="Lib", "Liberica", TRUE, "")</f>
        <v>Arabica</v>
      </c>
      <c r="O132" t="str" cm="1">
        <f t="array" ref="O132">_xlfn.IFS(J132="M", "Medium", J132="L", "Light", J132="D", "Dark", TRUE, "")</f>
        <v>Light</v>
      </c>
      <c r="P132" t="str">
        <f>_xlfn.XLOOKUP(Table1[[#This Row],[Customer ID]], customers!$A$1:$A$1001, customers!$I$1:$I$1001,, 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INDEX(Product!$A$1:$G$49,MATCH(orders!$D133,Product!$A$1:$A$49,0),MATCH(orders!I$1,Product!$A$1:$G$1,0))</f>
        <v>Exc</v>
      </c>
      <c r="J133" t="str">
        <f>INDEX(Product!$A$1:$G$49,MATCH(orders!$D133,Product!$A$1:$A$49,0),MATCH(orders!J$1,Product!$A$1:$G$1,0))</f>
        <v>D</v>
      </c>
      <c r="K133" s="4">
        <f>INDEX(Product!$A$1:$G$49,MATCH(orders!$D133,Product!$A$1:$A$49,0),MATCH(orders!K$1,Product!$A$1:$G$1,0))</f>
        <v>0.5</v>
      </c>
      <c r="L133" s="5">
        <f>INDEX(Product!$A$1:$G$49,MATCH(orders!$D133,Product!$A$1:$A$49,0),MATCH(orders!L$1,Product!$A$1:$G$1,0))</f>
        <v>7.29</v>
      </c>
      <c r="M133" s="5">
        <f t="shared" si="2"/>
        <v>14.58</v>
      </c>
      <c r="N133" t="str" cm="1">
        <f t="array" ref="N133">_xlfn.IFS(I133="Rob", "Robusta", I133="Exc", "Excelsa", I133="Ara", "Arabica", I133="Lib", "Liberica", TRUE, "")</f>
        <v>Excelsa</v>
      </c>
      <c r="O133" t="str" cm="1">
        <f t="array" ref="O133">_xlfn.IFS(J133="M", "Medium", J133="L", "Light", J133="D", "Dark", TRUE, "")</f>
        <v>Dark</v>
      </c>
      <c r="P133" t="str">
        <f>_xlfn.XLOOKUP(Table1[[#This Row],[Customer ID]], customers!$A$1:$A$1001, customers!$I$1:$I$1001,, 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INDEX(Product!$A$1:$G$49,MATCH(orders!$D134,Product!$A$1:$A$49,0),MATCH(orders!I$1,Product!$A$1:$G$1,0))</f>
        <v>Ara</v>
      </c>
      <c r="J134" t="str">
        <f>INDEX(Product!$A$1:$G$49,MATCH(orders!$D134,Product!$A$1:$A$49,0),MATCH(orders!J$1,Product!$A$1:$G$1,0))</f>
        <v>L</v>
      </c>
      <c r="K134" s="4">
        <f>INDEX(Product!$A$1:$G$49,MATCH(orders!$D134,Product!$A$1:$A$49,0),MATCH(orders!K$1,Product!$A$1:$G$1,0))</f>
        <v>2.5</v>
      </c>
      <c r="L134" s="5">
        <f>INDEX(Product!$A$1:$G$49,MATCH(orders!$D134,Product!$A$1:$A$49,0),MATCH(orders!L$1,Product!$A$1:$G$1,0))</f>
        <v>29.784999999999997</v>
      </c>
      <c r="M134" s="5">
        <f t="shared" si="2"/>
        <v>148.92499999999998</v>
      </c>
      <c r="N134" t="str" cm="1">
        <f t="array" ref="N134">_xlfn.IFS(I134="Rob", "Robusta", I134="Exc", "Excelsa", I134="Ara", "Arabica", I134="Lib", "Liberica", TRUE, "")</f>
        <v>Arabica</v>
      </c>
      <c r="O134" t="str" cm="1">
        <f t="array" ref="O134">_xlfn.IFS(J134="M", "Medium", J134="L", "Light", J134="D", "Dark", TRUE, "")</f>
        <v>Light</v>
      </c>
      <c r="P134" t="str">
        <f>_xlfn.XLOOKUP(Table1[[#This Row],[Customer ID]], customers!$A$1:$A$1001, customers!$I$1:$I$1001,, 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INDEX(Product!$A$1:$G$49,MATCH(orders!$D135,Product!$A$1:$A$49,0),MATCH(orders!I$1,Product!$A$1:$G$1,0))</f>
        <v>Lib</v>
      </c>
      <c r="J135" t="str">
        <f>INDEX(Product!$A$1:$G$49,MATCH(orders!$D135,Product!$A$1:$A$49,0),MATCH(orders!J$1,Product!$A$1:$G$1,0))</f>
        <v>D</v>
      </c>
      <c r="K135" s="4">
        <f>INDEX(Product!$A$1:$G$49,MATCH(orders!$D135,Product!$A$1:$A$49,0),MATCH(orders!K$1,Product!$A$1:$G$1,0))</f>
        <v>1</v>
      </c>
      <c r="L135" s="5">
        <f>INDEX(Product!$A$1:$G$49,MATCH(orders!$D135,Product!$A$1:$A$49,0),MATCH(orders!L$1,Product!$A$1:$G$1,0))</f>
        <v>12.95</v>
      </c>
      <c r="M135" s="5">
        <f t="shared" si="2"/>
        <v>12.95</v>
      </c>
      <c r="N135" t="str" cm="1">
        <f t="array" ref="N135">_xlfn.IFS(I135="Rob", "Robusta", I135="Exc", "Excelsa", I135="Ara", "Arabica", I135="Lib", "Liberica", TRUE, "")</f>
        <v>Liberica</v>
      </c>
      <c r="O135" t="str" cm="1">
        <f t="array" ref="O135">_xlfn.IFS(J135="M", "Medium", J135="L", "Light", J135="D", "Dark", TRUE, "")</f>
        <v>Dark</v>
      </c>
      <c r="P135" t="str">
        <f>_xlfn.XLOOKUP(Table1[[#This Row],[Customer ID]], customers!$A$1:$A$1001, customers!$I$1:$I$1001,, 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INDEX(Product!$A$1:$G$49,MATCH(orders!$D136,Product!$A$1:$A$49,0),MATCH(orders!I$1,Product!$A$1:$G$1,0))</f>
        <v>Exc</v>
      </c>
      <c r="J136" t="str">
        <f>INDEX(Product!$A$1:$G$49,MATCH(orders!$D136,Product!$A$1:$A$49,0),MATCH(orders!J$1,Product!$A$1:$G$1,0))</f>
        <v>M</v>
      </c>
      <c r="K136" s="4">
        <f>INDEX(Product!$A$1:$G$49,MATCH(orders!$D136,Product!$A$1:$A$49,0),MATCH(orders!K$1,Product!$A$1:$G$1,0))</f>
        <v>2.5</v>
      </c>
      <c r="L136" s="5">
        <f>INDEX(Product!$A$1:$G$49,MATCH(orders!$D136,Product!$A$1:$A$49,0),MATCH(orders!L$1,Product!$A$1:$G$1,0))</f>
        <v>31.624999999999996</v>
      </c>
      <c r="M136" s="5">
        <f t="shared" si="2"/>
        <v>94.874999999999986</v>
      </c>
      <c r="N136" t="str" cm="1">
        <f t="array" ref="N136">_xlfn.IFS(I136="Rob", "Robusta", I136="Exc", "Excelsa", I136="Ara", "Arabica", I136="Lib", "Liberica", TRUE, "")</f>
        <v>Excelsa</v>
      </c>
      <c r="O136" t="str" cm="1">
        <f t="array" ref="O136">_xlfn.IFS(J136="M", "Medium", J136="L", "Light", J136="D", "Dark", TRUE, "")</f>
        <v>Medium</v>
      </c>
      <c r="P136" t="str">
        <f>_xlfn.XLOOKUP(Table1[[#This Row],[Customer ID]], customers!$A$1:$A$1001, customers!$I$1:$I$1001,, 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INDEX(Product!$A$1:$G$49,MATCH(orders!$D137,Product!$A$1:$A$49,0),MATCH(orders!I$1,Product!$A$1:$G$1,0))</f>
        <v>Ara</v>
      </c>
      <c r="J137" t="str">
        <f>INDEX(Product!$A$1:$G$49,MATCH(orders!$D137,Product!$A$1:$A$49,0),MATCH(orders!J$1,Product!$A$1:$G$1,0))</f>
        <v>L</v>
      </c>
      <c r="K137" s="4">
        <f>INDEX(Product!$A$1:$G$49,MATCH(orders!$D137,Product!$A$1:$A$49,0),MATCH(orders!K$1,Product!$A$1:$G$1,0))</f>
        <v>0.5</v>
      </c>
      <c r="L137" s="5">
        <f>INDEX(Product!$A$1:$G$49,MATCH(orders!$D137,Product!$A$1:$A$49,0),MATCH(orders!L$1,Product!$A$1:$G$1,0))</f>
        <v>7.77</v>
      </c>
      <c r="M137" s="5">
        <f t="shared" si="2"/>
        <v>38.849999999999994</v>
      </c>
      <c r="N137" t="str" cm="1">
        <f t="array" ref="N137">_xlfn.IFS(I137="Rob", "Robusta", I137="Exc", "Excelsa", I137="Ara", "Arabica", I137="Lib", "Liberica", TRUE, "")</f>
        <v>Arabica</v>
      </c>
      <c r="O137" t="str" cm="1">
        <f t="array" ref="O137">_xlfn.IFS(J137="M", "Medium", J137="L", "Light", J137="D", "Dark", TRUE, "")</f>
        <v>Light</v>
      </c>
      <c r="P137" t="str">
        <f>_xlfn.XLOOKUP(Table1[[#This Row],[Customer ID]], customers!$A$1:$A$1001, customers!$I$1:$I$1001,, 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INDEX(Product!$A$1:$G$49,MATCH(orders!$D138,Product!$A$1:$A$49,0),MATCH(orders!I$1,Product!$A$1:$G$1,0))</f>
        <v>Ara</v>
      </c>
      <c r="J138" t="str">
        <f>INDEX(Product!$A$1:$G$49,MATCH(orders!$D138,Product!$A$1:$A$49,0),MATCH(orders!J$1,Product!$A$1:$G$1,0))</f>
        <v>D</v>
      </c>
      <c r="K138" s="4">
        <f>INDEX(Product!$A$1:$G$49,MATCH(orders!$D138,Product!$A$1:$A$49,0),MATCH(orders!K$1,Product!$A$1:$G$1,0))</f>
        <v>0.2</v>
      </c>
      <c r="L138" s="5">
        <f>INDEX(Product!$A$1:$G$49,MATCH(orders!$D138,Product!$A$1:$A$49,0),MATCH(orders!L$1,Product!$A$1:$G$1,0))</f>
        <v>2.9849999999999999</v>
      </c>
      <c r="M138" s="5">
        <f t="shared" si="2"/>
        <v>11.94</v>
      </c>
      <c r="N138" t="str" cm="1">
        <f t="array" ref="N138">_xlfn.IFS(I138="Rob", "Robusta", I138="Exc", "Excelsa", I138="Ara", "Arabica", I138="Lib", "Liberica", TRUE, "")</f>
        <v>Arabica</v>
      </c>
      <c r="O138" t="str" cm="1">
        <f t="array" ref="O138">_xlfn.IFS(J138="M", "Medium", J138="L", "Light", J138="D", "Dark", TRUE, "")</f>
        <v>Dark</v>
      </c>
      <c r="P138" t="str">
        <f>_xlfn.XLOOKUP(Table1[[#This Row],[Customer ID]], customers!$A$1:$A$1001, customers!$I$1:$I$1001,, 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INDEX(Product!$A$1:$G$49,MATCH(orders!$D139,Product!$A$1:$A$49,0),MATCH(orders!I$1,Product!$A$1:$G$1,0))</f>
        <v>Exc</v>
      </c>
      <c r="J139" t="str">
        <f>INDEX(Product!$A$1:$G$49,MATCH(orders!$D139,Product!$A$1:$A$49,0),MATCH(orders!J$1,Product!$A$1:$G$1,0))</f>
        <v>L</v>
      </c>
      <c r="K139" s="4">
        <f>INDEX(Product!$A$1:$G$49,MATCH(orders!$D139,Product!$A$1:$A$49,0),MATCH(orders!K$1,Product!$A$1:$G$1,0))</f>
        <v>2.5</v>
      </c>
      <c r="L139" s="5">
        <f>INDEX(Product!$A$1:$G$49,MATCH(orders!$D139,Product!$A$1:$A$49,0),MATCH(orders!L$1,Product!$A$1:$G$1,0))</f>
        <v>34.154999999999994</v>
      </c>
      <c r="M139" s="5">
        <f t="shared" si="2"/>
        <v>102.46499999999997</v>
      </c>
      <c r="N139" t="str" cm="1">
        <f t="array" ref="N139">_xlfn.IFS(I139="Rob", "Robusta", I139="Exc", "Excelsa", I139="Ara", "Arabica", I139="Lib", "Liberica", TRUE, "")</f>
        <v>Excelsa</v>
      </c>
      <c r="O139" t="str" cm="1">
        <f t="array" ref="O139">_xlfn.IFS(J139="M", "Medium", J139="L", "Light", J139="D", "Dark", TRUE, "")</f>
        <v>Light</v>
      </c>
      <c r="P139" t="str">
        <f>_xlfn.XLOOKUP(Table1[[#This Row],[Customer ID]], customers!$A$1:$A$1001, customers!$I$1:$I$1001,, 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INDEX(Product!$A$1:$G$49,MATCH(orders!$D140,Product!$A$1:$A$49,0),MATCH(orders!I$1,Product!$A$1:$G$1,0))</f>
        <v>Exc</v>
      </c>
      <c r="J140" t="str">
        <f>INDEX(Product!$A$1:$G$49,MATCH(orders!$D140,Product!$A$1:$A$49,0),MATCH(orders!J$1,Product!$A$1:$G$1,0))</f>
        <v>D</v>
      </c>
      <c r="K140" s="4">
        <f>INDEX(Product!$A$1:$G$49,MATCH(orders!$D140,Product!$A$1:$A$49,0),MATCH(orders!K$1,Product!$A$1:$G$1,0))</f>
        <v>1</v>
      </c>
      <c r="L140" s="5">
        <f>INDEX(Product!$A$1:$G$49,MATCH(orders!$D140,Product!$A$1:$A$49,0),MATCH(orders!L$1,Product!$A$1:$G$1,0))</f>
        <v>12.15</v>
      </c>
      <c r="M140" s="5">
        <f t="shared" si="2"/>
        <v>48.6</v>
      </c>
      <c r="N140" t="str" cm="1">
        <f t="array" ref="N140">_xlfn.IFS(I140="Rob", "Robusta", I140="Exc", "Excelsa", I140="Ara", "Arabica", I140="Lib", "Liberica", TRUE, "")</f>
        <v>Excelsa</v>
      </c>
      <c r="O140" t="str" cm="1">
        <f t="array" ref="O140">_xlfn.IFS(J140="M", "Medium", J140="L", "Light", J140="D", "Dark", TRUE, "")</f>
        <v>Dark</v>
      </c>
      <c r="P140" t="str">
        <f>_xlfn.XLOOKUP(Table1[[#This Row],[Customer ID]], customers!$A$1:$A$1001, customers!$I$1:$I$1001,, 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INDEX(Product!$A$1:$G$49,MATCH(orders!$D141,Product!$A$1:$A$49,0),MATCH(orders!I$1,Product!$A$1:$G$1,0))</f>
        <v>Lib</v>
      </c>
      <c r="J141" t="str">
        <f>INDEX(Product!$A$1:$G$49,MATCH(orders!$D141,Product!$A$1:$A$49,0),MATCH(orders!J$1,Product!$A$1:$G$1,0))</f>
        <v>D</v>
      </c>
      <c r="K141" s="4">
        <f>INDEX(Product!$A$1:$G$49,MATCH(orders!$D141,Product!$A$1:$A$49,0),MATCH(orders!K$1,Product!$A$1:$G$1,0))</f>
        <v>1</v>
      </c>
      <c r="L141" s="5">
        <f>INDEX(Product!$A$1:$G$49,MATCH(orders!$D141,Product!$A$1:$A$49,0),MATCH(orders!L$1,Product!$A$1:$G$1,0))</f>
        <v>12.95</v>
      </c>
      <c r="M141" s="5">
        <f t="shared" si="2"/>
        <v>77.699999999999989</v>
      </c>
      <c r="N141" t="str" cm="1">
        <f t="array" ref="N141">_xlfn.IFS(I141="Rob", "Robusta", I141="Exc", "Excelsa", I141="Ara", "Arabica", I141="Lib", "Liberica", TRUE, "")</f>
        <v>Liberica</v>
      </c>
      <c r="O141" t="str" cm="1">
        <f t="array" ref="O141">_xlfn.IFS(J141="M", "Medium", J141="L", "Light", J141="D", "Dark", TRUE, "")</f>
        <v>Dark</v>
      </c>
      <c r="P141" t="str">
        <f>_xlfn.XLOOKUP(Table1[[#This Row],[Customer ID]], customers!$A$1:$A$1001, customers!$I$1:$I$1001,, 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INDEX(Product!$A$1:$G$49,MATCH(orders!$D142,Product!$A$1:$A$49,0),MATCH(orders!I$1,Product!$A$1:$G$1,0))</f>
        <v>Lib</v>
      </c>
      <c r="J142" t="str">
        <f>INDEX(Product!$A$1:$G$49,MATCH(orders!$D142,Product!$A$1:$A$49,0),MATCH(orders!J$1,Product!$A$1:$G$1,0))</f>
        <v>D</v>
      </c>
      <c r="K142" s="4">
        <f>INDEX(Product!$A$1:$G$49,MATCH(orders!$D142,Product!$A$1:$A$49,0),MATCH(orders!K$1,Product!$A$1:$G$1,0))</f>
        <v>2.5</v>
      </c>
      <c r="L142" s="5">
        <f>INDEX(Product!$A$1:$G$49,MATCH(orders!$D142,Product!$A$1:$A$49,0),MATCH(orders!L$1,Product!$A$1:$G$1,0))</f>
        <v>29.784999999999997</v>
      </c>
      <c r="M142" s="5">
        <f t="shared" si="2"/>
        <v>29.784999999999997</v>
      </c>
      <c r="N142" t="str" cm="1">
        <f t="array" ref="N142">_xlfn.IFS(I142="Rob", "Robusta", I142="Exc", "Excelsa", I142="Ara", "Arabica", I142="Lib", "Liberica", TRUE, "")</f>
        <v>Liberica</v>
      </c>
      <c r="O142" t="str" cm="1">
        <f t="array" ref="O142">_xlfn.IFS(J142="M", "Medium", J142="L", "Light", J142="D", "Dark", TRUE, "")</f>
        <v>Dark</v>
      </c>
      <c r="P142" t="str">
        <f>_xlfn.XLOOKUP(Table1[[#This Row],[Customer ID]], customers!$A$1:$A$1001, customers!$I$1:$I$1001,, 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INDEX(Product!$A$1:$G$49,MATCH(orders!$D143,Product!$A$1:$A$49,0),MATCH(orders!I$1,Product!$A$1:$G$1,0))</f>
        <v>Ara</v>
      </c>
      <c r="J143" t="str">
        <f>INDEX(Product!$A$1:$G$49,MATCH(orders!$D143,Product!$A$1:$A$49,0),MATCH(orders!J$1,Product!$A$1:$G$1,0))</f>
        <v>L</v>
      </c>
      <c r="K143" s="4">
        <f>INDEX(Product!$A$1:$G$49,MATCH(orders!$D143,Product!$A$1:$A$49,0),MATCH(orders!K$1,Product!$A$1:$G$1,0))</f>
        <v>0.2</v>
      </c>
      <c r="L143" s="5">
        <f>INDEX(Product!$A$1:$G$49,MATCH(orders!$D143,Product!$A$1:$A$49,0),MATCH(orders!L$1,Product!$A$1:$G$1,0))</f>
        <v>3.8849999999999998</v>
      </c>
      <c r="M143" s="5">
        <f t="shared" si="2"/>
        <v>15.54</v>
      </c>
      <c r="N143" t="str" cm="1">
        <f t="array" ref="N143">_xlfn.IFS(I143="Rob", "Robusta", I143="Exc", "Excelsa", I143="Ara", "Arabica", I143="Lib", "Liberica", TRUE, "")</f>
        <v>Arabica</v>
      </c>
      <c r="O143" t="str" cm="1">
        <f t="array" ref="O143">_xlfn.IFS(J143="M", "Medium", J143="L", "Light", J143="D", "Dark", TRUE, "")</f>
        <v>Light</v>
      </c>
      <c r="P143" t="str">
        <f>_xlfn.XLOOKUP(Table1[[#This Row],[Customer ID]], customers!$A$1:$A$1001, customers!$I$1:$I$1001,, 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INDEX(Product!$A$1:$G$49,MATCH(orders!$D144,Product!$A$1:$A$49,0),MATCH(orders!I$1,Product!$A$1:$G$1,0))</f>
        <v>Exc</v>
      </c>
      <c r="J144" t="str">
        <f>INDEX(Product!$A$1:$G$49,MATCH(orders!$D144,Product!$A$1:$A$49,0),MATCH(orders!J$1,Product!$A$1:$G$1,0))</f>
        <v>L</v>
      </c>
      <c r="K144" s="4">
        <f>INDEX(Product!$A$1:$G$49,MATCH(orders!$D144,Product!$A$1:$A$49,0),MATCH(orders!K$1,Product!$A$1:$G$1,0))</f>
        <v>2.5</v>
      </c>
      <c r="L144" s="5">
        <f>INDEX(Product!$A$1:$G$49,MATCH(orders!$D144,Product!$A$1:$A$49,0),MATCH(orders!L$1,Product!$A$1:$G$1,0))</f>
        <v>34.154999999999994</v>
      </c>
      <c r="M144" s="5">
        <f t="shared" si="2"/>
        <v>136.61999999999998</v>
      </c>
      <c r="N144" t="str" cm="1">
        <f t="array" ref="N144">_xlfn.IFS(I144="Rob", "Robusta", I144="Exc", "Excelsa", I144="Ara", "Arabica", I144="Lib", "Liberica", TRUE, "")</f>
        <v>Excelsa</v>
      </c>
      <c r="O144" t="str" cm="1">
        <f t="array" ref="O144">_xlfn.IFS(J144="M", "Medium", J144="L", "Light", J144="D", "Dark", TRUE, "")</f>
        <v>Light</v>
      </c>
      <c r="P144" t="str">
        <f>_xlfn.XLOOKUP(Table1[[#This Row],[Customer ID]], customers!$A$1:$A$1001, customers!$I$1:$I$1001,, 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INDEX(Product!$A$1:$G$49,MATCH(orders!$D145,Product!$A$1:$A$49,0),MATCH(orders!I$1,Product!$A$1:$G$1,0))</f>
        <v>Lib</v>
      </c>
      <c r="J145" t="str">
        <f>INDEX(Product!$A$1:$G$49,MATCH(orders!$D145,Product!$A$1:$A$49,0),MATCH(orders!J$1,Product!$A$1:$G$1,0))</f>
        <v>M</v>
      </c>
      <c r="K145" s="4">
        <f>INDEX(Product!$A$1:$G$49,MATCH(orders!$D145,Product!$A$1:$A$49,0),MATCH(orders!K$1,Product!$A$1:$G$1,0))</f>
        <v>0.5</v>
      </c>
      <c r="L145" s="5">
        <f>INDEX(Product!$A$1:$G$49,MATCH(orders!$D145,Product!$A$1:$A$49,0),MATCH(orders!L$1,Product!$A$1:$G$1,0))</f>
        <v>8.73</v>
      </c>
      <c r="M145" s="5">
        <f t="shared" si="2"/>
        <v>17.46</v>
      </c>
      <c r="N145" t="str" cm="1">
        <f t="array" ref="N145">_xlfn.IFS(I145="Rob", "Robusta", I145="Exc", "Excelsa", I145="Ara", "Arabica", I145="Lib", "Liberica", TRUE, "")</f>
        <v>Liberica</v>
      </c>
      <c r="O145" t="str" cm="1">
        <f t="array" ref="O145">_xlfn.IFS(J145="M", "Medium", J145="L", "Light", J145="D", "Dark", TRUE, "")</f>
        <v>Medium</v>
      </c>
      <c r="P145" t="str">
        <f>_xlfn.XLOOKUP(Table1[[#This Row],[Customer ID]], customers!$A$1:$A$1001, customers!$I$1:$I$1001,, 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INDEX(Product!$A$1:$G$49,MATCH(orders!$D146,Product!$A$1:$A$49,0),MATCH(orders!I$1,Product!$A$1:$G$1,0))</f>
        <v>Exc</v>
      </c>
      <c r="J146" t="str">
        <f>INDEX(Product!$A$1:$G$49,MATCH(orders!$D146,Product!$A$1:$A$49,0),MATCH(orders!J$1,Product!$A$1:$G$1,0))</f>
        <v>L</v>
      </c>
      <c r="K146" s="4">
        <f>INDEX(Product!$A$1:$G$49,MATCH(orders!$D146,Product!$A$1:$A$49,0),MATCH(orders!K$1,Product!$A$1:$G$1,0))</f>
        <v>2.5</v>
      </c>
      <c r="L146" s="5">
        <f>INDEX(Product!$A$1:$G$49,MATCH(orders!$D146,Product!$A$1:$A$49,0),MATCH(orders!L$1,Product!$A$1:$G$1,0))</f>
        <v>34.154999999999994</v>
      </c>
      <c r="M146" s="5">
        <f t="shared" si="2"/>
        <v>68.309999999999988</v>
      </c>
      <c r="N146" t="str" cm="1">
        <f t="array" ref="N146">_xlfn.IFS(I146="Rob", "Robusta", I146="Exc", "Excelsa", I146="Ara", "Arabica", I146="Lib", "Liberica", TRUE, "")</f>
        <v>Excelsa</v>
      </c>
      <c r="O146" t="str" cm="1">
        <f t="array" ref="O146">_xlfn.IFS(J146="M", "Medium", J146="L", "Light", J146="D", "Dark", TRUE, "")</f>
        <v>Light</v>
      </c>
      <c r="P146" t="str">
        <f>_xlfn.XLOOKUP(Table1[[#This Row],[Customer ID]], customers!$A$1:$A$1001, customers!$I$1:$I$1001,, 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INDEX(Product!$A$1:$G$49,MATCH(orders!$D147,Product!$A$1:$A$49,0),MATCH(orders!I$1,Product!$A$1:$G$1,0))</f>
        <v>Lib</v>
      </c>
      <c r="J147" t="str">
        <f>INDEX(Product!$A$1:$G$49,MATCH(orders!$D147,Product!$A$1:$A$49,0),MATCH(orders!J$1,Product!$A$1:$G$1,0))</f>
        <v>M</v>
      </c>
      <c r="K147" s="4">
        <f>INDEX(Product!$A$1:$G$49,MATCH(orders!$D147,Product!$A$1:$A$49,0),MATCH(orders!K$1,Product!$A$1:$G$1,0))</f>
        <v>0.2</v>
      </c>
      <c r="L147" s="5">
        <f>INDEX(Product!$A$1:$G$49,MATCH(orders!$D147,Product!$A$1:$A$49,0),MATCH(orders!L$1,Product!$A$1:$G$1,0))</f>
        <v>4.3650000000000002</v>
      </c>
      <c r="M147" s="5">
        <f t="shared" si="2"/>
        <v>17.46</v>
      </c>
      <c r="N147" t="str" cm="1">
        <f t="array" ref="N147">_xlfn.IFS(I147="Rob", "Robusta", I147="Exc", "Excelsa", I147="Ara", "Arabica", I147="Lib", "Liberica", TRUE, "")</f>
        <v>Liberica</v>
      </c>
      <c r="O147" t="str" cm="1">
        <f t="array" ref="O147">_xlfn.IFS(J147="M", "Medium", J147="L", "Light", J147="D", "Dark", TRUE, "")</f>
        <v>Medium</v>
      </c>
      <c r="P147" t="str">
        <f>_xlfn.XLOOKUP(Table1[[#This Row],[Customer ID]], customers!$A$1:$A$1001, customers!$I$1:$I$1001,, 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INDEX(Product!$A$1:$G$49,MATCH(orders!$D148,Product!$A$1:$A$49,0),MATCH(orders!I$1,Product!$A$1:$G$1,0))</f>
        <v>Lib</v>
      </c>
      <c r="J148" t="str">
        <f>INDEX(Product!$A$1:$G$49,MATCH(orders!$D148,Product!$A$1:$A$49,0),MATCH(orders!J$1,Product!$A$1:$G$1,0))</f>
        <v>M</v>
      </c>
      <c r="K148" s="4">
        <f>INDEX(Product!$A$1:$G$49,MATCH(orders!$D148,Product!$A$1:$A$49,0),MATCH(orders!K$1,Product!$A$1:$G$1,0))</f>
        <v>1</v>
      </c>
      <c r="L148" s="5">
        <f>INDEX(Product!$A$1:$G$49,MATCH(orders!$D148,Product!$A$1:$A$49,0),MATCH(orders!L$1,Product!$A$1:$G$1,0))</f>
        <v>14.55</v>
      </c>
      <c r="M148" s="5">
        <f t="shared" si="2"/>
        <v>43.650000000000006</v>
      </c>
      <c r="N148" t="str" cm="1">
        <f t="array" ref="N148">_xlfn.IFS(I148="Rob", "Robusta", I148="Exc", "Excelsa", I148="Ara", "Arabica", I148="Lib", "Liberica", TRUE, "")</f>
        <v>Liberica</v>
      </c>
      <c r="O148" t="str" cm="1">
        <f t="array" ref="O148">_xlfn.IFS(J148="M", "Medium", J148="L", "Light", J148="D", "Dark", TRUE, "")</f>
        <v>Medium</v>
      </c>
      <c r="P148" t="str">
        <f>_xlfn.XLOOKUP(Table1[[#This Row],[Customer ID]], customers!$A$1:$A$1001, customers!$I$1:$I$1001,, 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INDEX(Product!$A$1:$G$49,MATCH(orders!$D149,Product!$A$1:$A$49,0),MATCH(orders!I$1,Product!$A$1:$G$1,0))</f>
        <v>Exc</v>
      </c>
      <c r="J149" t="str">
        <f>INDEX(Product!$A$1:$G$49,MATCH(orders!$D149,Product!$A$1:$A$49,0),MATCH(orders!J$1,Product!$A$1:$G$1,0))</f>
        <v>M</v>
      </c>
      <c r="K149" s="4">
        <f>INDEX(Product!$A$1:$G$49,MATCH(orders!$D149,Product!$A$1:$A$49,0),MATCH(orders!K$1,Product!$A$1:$G$1,0))</f>
        <v>1</v>
      </c>
      <c r="L149" s="5">
        <f>INDEX(Product!$A$1:$G$49,MATCH(orders!$D149,Product!$A$1:$A$49,0),MATCH(orders!L$1,Product!$A$1:$G$1,0))</f>
        <v>13.75</v>
      </c>
      <c r="M149" s="5">
        <f t="shared" si="2"/>
        <v>27.5</v>
      </c>
      <c r="N149" t="str" cm="1">
        <f t="array" ref="N149">_xlfn.IFS(I149="Rob", "Robusta", I149="Exc", "Excelsa", I149="Ara", "Arabica", I149="Lib", "Liberica", TRUE, "")</f>
        <v>Excelsa</v>
      </c>
      <c r="O149" t="str" cm="1">
        <f t="array" ref="O149">_xlfn.IFS(J149="M", "Medium", J149="L", "Light", J149="D", "Dark", TRUE, "")</f>
        <v>Medium</v>
      </c>
      <c r="P149" t="str">
        <f>_xlfn.XLOOKUP(Table1[[#This Row],[Customer ID]], customers!$A$1:$A$1001, customers!$I$1:$I$1001,, 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INDEX(Product!$A$1:$G$49,MATCH(orders!$D150,Product!$A$1:$A$49,0),MATCH(orders!I$1,Product!$A$1:$G$1,0))</f>
        <v>Exc</v>
      </c>
      <c r="J150" t="str">
        <f>INDEX(Product!$A$1:$G$49,MATCH(orders!$D150,Product!$A$1:$A$49,0),MATCH(orders!J$1,Product!$A$1:$G$1,0))</f>
        <v>D</v>
      </c>
      <c r="K150" s="4">
        <f>INDEX(Product!$A$1:$G$49,MATCH(orders!$D150,Product!$A$1:$A$49,0),MATCH(orders!K$1,Product!$A$1:$G$1,0))</f>
        <v>0.2</v>
      </c>
      <c r="L150" s="5">
        <f>INDEX(Product!$A$1:$G$49,MATCH(orders!$D150,Product!$A$1:$A$49,0),MATCH(orders!L$1,Product!$A$1:$G$1,0))</f>
        <v>3.645</v>
      </c>
      <c r="M150" s="5">
        <f t="shared" si="2"/>
        <v>18.225000000000001</v>
      </c>
      <c r="N150" t="str" cm="1">
        <f t="array" ref="N150">_xlfn.IFS(I150="Rob", "Robusta", I150="Exc", "Excelsa", I150="Ara", "Arabica", I150="Lib", "Liberica", TRUE, "")</f>
        <v>Excelsa</v>
      </c>
      <c r="O150" t="str" cm="1">
        <f t="array" ref="O150">_xlfn.IFS(J150="M", "Medium", J150="L", "Light", J150="D", "Dark", TRUE, "")</f>
        <v>Dark</v>
      </c>
      <c r="P150" t="str">
        <f>_xlfn.XLOOKUP(Table1[[#This Row],[Customer ID]], customers!$A$1:$A$1001, customers!$I$1:$I$1001,, 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INDEX(Product!$A$1:$G$49,MATCH(orders!$D151,Product!$A$1:$A$49,0),MATCH(orders!I$1,Product!$A$1:$G$1,0))</f>
        <v>Ara</v>
      </c>
      <c r="J151" t="str">
        <f>INDEX(Product!$A$1:$G$49,MATCH(orders!$D151,Product!$A$1:$A$49,0),MATCH(orders!J$1,Product!$A$1:$G$1,0))</f>
        <v>M</v>
      </c>
      <c r="K151" s="4">
        <f>INDEX(Product!$A$1:$G$49,MATCH(orders!$D151,Product!$A$1:$A$49,0),MATCH(orders!K$1,Product!$A$1:$G$1,0))</f>
        <v>2.5</v>
      </c>
      <c r="L151" s="5">
        <f>INDEX(Product!$A$1:$G$49,MATCH(orders!$D151,Product!$A$1:$A$49,0),MATCH(orders!L$1,Product!$A$1:$G$1,0))</f>
        <v>25.874999999999996</v>
      </c>
      <c r="M151" s="5">
        <f t="shared" si="2"/>
        <v>51.749999999999993</v>
      </c>
      <c r="N151" t="str" cm="1">
        <f t="array" ref="N151">_xlfn.IFS(I151="Rob", "Robusta", I151="Exc", "Excelsa", I151="Ara", "Arabica", I151="Lib", "Liberica", TRUE, "")</f>
        <v>Arabica</v>
      </c>
      <c r="O151" t="str" cm="1">
        <f t="array" ref="O151">_xlfn.IFS(J151="M", "Medium", J151="L", "Light", J151="D", "Dark", TRUE, "")</f>
        <v>Medium</v>
      </c>
      <c r="P151" t="str">
        <f>_xlfn.XLOOKUP(Table1[[#This Row],[Customer ID]], customers!$A$1:$A$1001, customers!$I$1:$I$1001,, 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INDEX(Product!$A$1:$G$49,MATCH(orders!$D152,Product!$A$1:$A$49,0),MATCH(orders!I$1,Product!$A$1:$G$1,0))</f>
        <v>Lib</v>
      </c>
      <c r="J152" t="str">
        <f>INDEX(Product!$A$1:$G$49,MATCH(orders!$D152,Product!$A$1:$A$49,0),MATCH(orders!J$1,Product!$A$1:$G$1,0))</f>
        <v>D</v>
      </c>
      <c r="K152" s="4">
        <f>INDEX(Product!$A$1:$G$49,MATCH(orders!$D152,Product!$A$1:$A$49,0),MATCH(orders!K$1,Product!$A$1:$G$1,0))</f>
        <v>1</v>
      </c>
      <c r="L152" s="5">
        <f>INDEX(Product!$A$1:$G$49,MATCH(orders!$D152,Product!$A$1:$A$49,0),MATCH(orders!L$1,Product!$A$1:$G$1,0))</f>
        <v>12.95</v>
      </c>
      <c r="M152" s="5">
        <f t="shared" si="2"/>
        <v>12.95</v>
      </c>
      <c r="N152" t="str" cm="1">
        <f t="array" ref="N152">_xlfn.IFS(I152="Rob", "Robusta", I152="Exc", "Excelsa", I152="Ara", "Arabica", I152="Lib", "Liberica", TRUE, "")</f>
        <v>Liberica</v>
      </c>
      <c r="O152" t="str" cm="1">
        <f t="array" ref="O152">_xlfn.IFS(J152="M", "Medium", J152="L", "Light", J152="D", "Dark", TRUE, "")</f>
        <v>Dark</v>
      </c>
      <c r="P152" t="str">
        <f>_xlfn.XLOOKUP(Table1[[#This Row],[Customer ID]], customers!$A$1:$A$1001, customers!$I$1:$I$1001,, 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INDEX(Product!$A$1:$G$49,MATCH(orders!$D153,Product!$A$1:$A$49,0),MATCH(orders!I$1,Product!$A$1:$G$1,0))</f>
        <v>Ara</v>
      </c>
      <c r="J153" t="str">
        <f>INDEX(Product!$A$1:$G$49,MATCH(orders!$D153,Product!$A$1:$A$49,0),MATCH(orders!J$1,Product!$A$1:$G$1,0))</f>
        <v>M</v>
      </c>
      <c r="K153" s="4">
        <f>INDEX(Product!$A$1:$G$49,MATCH(orders!$D153,Product!$A$1:$A$49,0),MATCH(orders!K$1,Product!$A$1:$G$1,0))</f>
        <v>1</v>
      </c>
      <c r="L153" s="5">
        <f>INDEX(Product!$A$1:$G$49,MATCH(orders!$D153,Product!$A$1:$A$49,0),MATCH(orders!L$1,Product!$A$1:$G$1,0))</f>
        <v>11.25</v>
      </c>
      <c r="M153" s="5">
        <f t="shared" si="2"/>
        <v>33.75</v>
      </c>
      <c r="N153" t="str" cm="1">
        <f t="array" ref="N153">_xlfn.IFS(I153="Rob", "Robusta", I153="Exc", "Excelsa", I153="Ara", "Arabica", I153="Lib", "Liberica", TRUE, "")</f>
        <v>Arabica</v>
      </c>
      <c r="O153" t="str" cm="1">
        <f t="array" ref="O153">_xlfn.IFS(J153="M", "Medium", J153="L", "Light", J153="D", "Dark", TRUE, "")</f>
        <v>Medium</v>
      </c>
      <c r="P153" t="str">
        <f>_xlfn.XLOOKUP(Table1[[#This Row],[Customer ID]], customers!$A$1:$A$1001, customers!$I$1:$I$1001,, 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INDEX(Product!$A$1:$G$49,MATCH(orders!$D154,Product!$A$1:$A$49,0),MATCH(orders!I$1,Product!$A$1:$G$1,0))</f>
        <v>Rob</v>
      </c>
      <c r="J154" t="str">
        <f>INDEX(Product!$A$1:$G$49,MATCH(orders!$D154,Product!$A$1:$A$49,0),MATCH(orders!J$1,Product!$A$1:$G$1,0))</f>
        <v>M</v>
      </c>
      <c r="K154" s="4">
        <f>INDEX(Product!$A$1:$G$49,MATCH(orders!$D154,Product!$A$1:$A$49,0),MATCH(orders!K$1,Product!$A$1:$G$1,0))</f>
        <v>2.5</v>
      </c>
      <c r="L154" s="5">
        <f>INDEX(Product!$A$1:$G$49,MATCH(orders!$D154,Product!$A$1:$A$49,0),MATCH(orders!L$1,Product!$A$1:$G$1,0))</f>
        <v>22.884999999999998</v>
      </c>
      <c r="M154" s="5">
        <f t="shared" si="2"/>
        <v>68.655000000000001</v>
      </c>
      <c r="N154" t="str" cm="1">
        <f t="array" ref="N154">_xlfn.IFS(I154="Rob", "Robusta", I154="Exc", "Excelsa", I154="Ara", "Arabica", I154="Lib", "Liberica", TRUE, "")</f>
        <v>Robusta</v>
      </c>
      <c r="O154" t="str" cm="1">
        <f t="array" ref="O154">_xlfn.IFS(J154="M", "Medium", J154="L", "Light", J154="D", "Dark", TRUE, "")</f>
        <v>Medium</v>
      </c>
      <c r="P154" t="str">
        <f>_xlfn.XLOOKUP(Table1[[#This Row],[Customer ID]], customers!$A$1:$A$1001, customers!$I$1:$I$1001,, 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INDEX(Product!$A$1:$G$49,MATCH(orders!$D155,Product!$A$1:$A$49,0),MATCH(orders!I$1,Product!$A$1:$G$1,0))</f>
        <v>Rob</v>
      </c>
      <c r="J155" t="str">
        <f>INDEX(Product!$A$1:$G$49,MATCH(orders!$D155,Product!$A$1:$A$49,0),MATCH(orders!J$1,Product!$A$1:$G$1,0))</f>
        <v>D</v>
      </c>
      <c r="K155" s="4">
        <f>INDEX(Product!$A$1:$G$49,MATCH(orders!$D155,Product!$A$1:$A$49,0),MATCH(orders!K$1,Product!$A$1:$G$1,0))</f>
        <v>0.2</v>
      </c>
      <c r="L155" s="5">
        <f>INDEX(Product!$A$1:$G$49,MATCH(orders!$D155,Product!$A$1:$A$49,0),MATCH(orders!L$1,Product!$A$1:$G$1,0))</f>
        <v>2.6849999999999996</v>
      </c>
      <c r="M155" s="5">
        <f t="shared" si="2"/>
        <v>2.6849999999999996</v>
      </c>
      <c r="N155" t="str" cm="1">
        <f t="array" ref="N155">_xlfn.IFS(I155="Rob", "Robusta", I155="Exc", "Excelsa", I155="Ara", "Arabica", I155="Lib", "Liberica", TRUE, "")</f>
        <v>Robusta</v>
      </c>
      <c r="O155" t="str" cm="1">
        <f t="array" ref="O155">_xlfn.IFS(J155="M", "Medium", J155="L", "Light", J155="D", "Dark", TRUE, "")</f>
        <v>Dark</v>
      </c>
      <c r="P155" t="str">
        <f>_xlfn.XLOOKUP(Table1[[#This Row],[Customer ID]], customers!$A$1:$A$1001, customers!$I$1:$I$1001,, 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INDEX(Product!$A$1:$G$49,MATCH(orders!$D156,Product!$A$1:$A$49,0),MATCH(orders!I$1,Product!$A$1:$G$1,0))</f>
        <v>Ara</v>
      </c>
      <c r="J156" t="str">
        <f>INDEX(Product!$A$1:$G$49,MATCH(orders!$D156,Product!$A$1:$A$49,0),MATCH(orders!J$1,Product!$A$1:$G$1,0))</f>
        <v>D</v>
      </c>
      <c r="K156" s="4">
        <f>INDEX(Product!$A$1:$G$49,MATCH(orders!$D156,Product!$A$1:$A$49,0),MATCH(orders!K$1,Product!$A$1:$G$1,0))</f>
        <v>2.5</v>
      </c>
      <c r="L156" s="5">
        <f>INDEX(Product!$A$1:$G$49,MATCH(orders!$D156,Product!$A$1:$A$49,0),MATCH(orders!L$1,Product!$A$1:$G$1,0))</f>
        <v>22.884999999999998</v>
      </c>
      <c r="M156" s="5">
        <f t="shared" si="2"/>
        <v>114.42499999999998</v>
      </c>
      <c r="N156" t="str" cm="1">
        <f t="array" ref="N156">_xlfn.IFS(I156="Rob", "Robusta", I156="Exc", "Excelsa", I156="Ara", "Arabica", I156="Lib", "Liberica", TRUE, "")</f>
        <v>Arabica</v>
      </c>
      <c r="O156" t="str" cm="1">
        <f t="array" ref="O156">_xlfn.IFS(J156="M", "Medium", J156="L", "Light", J156="D", "Dark", TRUE, "")</f>
        <v>Dark</v>
      </c>
      <c r="P156" t="str">
        <f>_xlfn.XLOOKUP(Table1[[#This Row],[Customer ID]], customers!$A$1:$A$1001, customers!$I$1:$I$1001,, 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INDEX(Product!$A$1:$G$49,MATCH(orders!$D157,Product!$A$1:$A$49,0),MATCH(orders!I$1,Product!$A$1:$G$1,0))</f>
        <v>Ara</v>
      </c>
      <c r="J157" t="str">
        <f>INDEX(Product!$A$1:$G$49,MATCH(orders!$D157,Product!$A$1:$A$49,0),MATCH(orders!J$1,Product!$A$1:$G$1,0))</f>
        <v>M</v>
      </c>
      <c r="K157" s="4">
        <f>INDEX(Product!$A$1:$G$49,MATCH(orders!$D157,Product!$A$1:$A$49,0),MATCH(orders!K$1,Product!$A$1:$G$1,0))</f>
        <v>2.5</v>
      </c>
      <c r="L157" s="5">
        <f>INDEX(Product!$A$1:$G$49,MATCH(orders!$D157,Product!$A$1:$A$49,0),MATCH(orders!L$1,Product!$A$1:$G$1,0))</f>
        <v>25.874999999999996</v>
      </c>
      <c r="M157" s="5">
        <f t="shared" si="2"/>
        <v>155.24999999999997</v>
      </c>
      <c r="N157" t="str" cm="1">
        <f t="array" ref="N157">_xlfn.IFS(I157="Rob", "Robusta", I157="Exc", "Excelsa", I157="Ara", "Arabica", I157="Lib", "Liberica", TRUE, "")</f>
        <v>Arabica</v>
      </c>
      <c r="O157" t="str" cm="1">
        <f t="array" ref="O157">_xlfn.IFS(J157="M", "Medium", J157="L", "Light", J157="D", "Dark", TRUE, "")</f>
        <v>Medium</v>
      </c>
      <c r="P157" t="str">
        <f>_xlfn.XLOOKUP(Table1[[#This Row],[Customer ID]], customers!$A$1:$A$1001, customers!$I$1:$I$1001,, 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INDEX(Product!$A$1:$G$49,MATCH(orders!$D158,Product!$A$1:$A$49,0),MATCH(orders!I$1,Product!$A$1:$G$1,0))</f>
        <v>Ara</v>
      </c>
      <c r="J158" t="str">
        <f>INDEX(Product!$A$1:$G$49,MATCH(orders!$D158,Product!$A$1:$A$49,0),MATCH(orders!J$1,Product!$A$1:$G$1,0))</f>
        <v>M</v>
      </c>
      <c r="K158" s="4">
        <f>INDEX(Product!$A$1:$G$49,MATCH(orders!$D158,Product!$A$1:$A$49,0),MATCH(orders!K$1,Product!$A$1:$G$1,0))</f>
        <v>2.5</v>
      </c>
      <c r="L158" s="5">
        <f>INDEX(Product!$A$1:$G$49,MATCH(orders!$D158,Product!$A$1:$A$49,0),MATCH(orders!L$1,Product!$A$1:$G$1,0))</f>
        <v>25.874999999999996</v>
      </c>
      <c r="M158" s="5">
        <f t="shared" si="2"/>
        <v>77.624999999999986</v>
      </c>
      <c r="N158" t="str" cm="1">
        <f t="array" ref="N158">_xlfn.IFS(I158="Rob", "Robusta", I158="Exc", "Excelsa", I158="Ara", "Arabica", I158="Lib", "Liberica", TRUE, "")</f>
        <v>Arabica</v>
      </c>
      <c r="O158" t="str" cm="1">
        <f t="array" ref="O158">_xlfn.IFS(J158="M", "Medium", J158="L", "Light", J158="D", "Dark", TRUE, "")</f>
        <v>Medium</v>
      </c>
      <c r="P158" t="str">
        <f>_xlfn.XLOOKUP(Table1[[#This Row],[Customer ID]], customers!$A$1:$A$1001, customers!$I$1:$I$1001,, 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INDEX(Product!$A$1:$G$49,MATCH(orders!$D159,Product!$A$1:$A$49,0),MATCH(orders!I$1,Product!$A$1:$G$1,0))</f>
        <v>Rob</v>
      </c>
      <c r="J159" t="str">
        <f>INDEX(Product!$A$1:$G$49,MATCH(orders!$D159,Product!$A$1:$A$49,0),MATCH(orders!J$1,Product!$A$1:$G$1,0))</f>
        <v>D</v>
      </c>
      <c r="K159" s="4">
        <f>INDEX(Product!$A$1:$G$49,MATCH(orders!$D159,Product!$A$1:$A$49,0),MATCH(orders!K$1,Product!$A$1:$G$1,0))</f>
        <v>2.5</v>
      </c>
      <c r="L159" s="5">
        <f>INDEX(Product!$A$1:$G$49,MATCH(orders!$D159,Product!$A$1:$A$49,0),MATCH(orders!L$1,Product!$A$1:$G$1,0))</f>
        <v>20.584999999999997</v>
      </c>
      <c r="M159" s="5">
        <f t="shared" si="2"/>
        <v>61.754999999999995</v>
      </c>
      <c r="N159" t="str" cm="1">
        <f t="array" ref="N159">_xlfn.IFS(I159="Rob", "Robusta", I159="Exc", "Excelsa", I159="Ara", "Arabica", I159="Lib", "Liberica", TRUE, "")</f>
        <v>Robusta</v>
      </c>
      <c r="O159" t="str" cm="1">
        <f t="array" ref="O159">_xlfn.IFS(J159="M", "Medium", J159="L", "Light", J159="D", "Dark", TRUE, "")</f>
        <v>Dark</v>
      </c>
      <c r="P159" t="str">
        <f>_xlfn.XLOOKUP(Table1[[#This Row],[Customer ID]], customers!$A$1:$A$1001, customers!$I$1:$I$1001,, 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INDEX(Product!$A$1:$G$49,MATCH(orders!$D160,Product!$A$1:$A$49,0),MATCH(orders!I$1,Product!$A$1:$G$1,0))</f>
        <v>Rob</v>
      </c>
      <c r="J160" t="str">
        <f>INDEX(Product!$A$1:$G$49,MATCH(orders!$D160,Product!$A$1:$A$49,0),MATCH(orders!J$1,Product!$A$1:$G$1,0))</f>
        <v>D</v>
      </c>
      <c r="K160" s="4">
        <f>INDEX(Product!$A$1:$G$49,MATCH(orders!$D160,Product!$A$1:$A$49,0),MATCH(orders!K$1,Product!$A$1:$G$1,0))</f>
        <v>2.5</v>
      </c>
      <c r="L160" s="5">
        <f>INDEX(Product!$A$1:$G$49,MATCH(orders!$D160,Product!$A$1:$A$49,0),MATCH(orders!L$1,Product!$A$1:$G$1,0))</f>
        <v>20.584999999999997</v>
      </c>
      <c r="M160" s="5">
        <f t="shared" si="2"/>
        <v>123.50999999999999</v>
      </c>
      <c r="N160" t="str" cm="1">
        <f t="array" ref="N160">_xlfn.IFS(I160="Rob", "Robusta", I160="Exc", "Excelsa", I160="Ara", "Arabica", I160="Lib", "Liberica", TRUE, "")</f>
        <v>Robusta</v>
      </c>
      <c r="O160" t="str" cm="1">
        <f t="array" ref="O160">_xlfn.IFS(J160="M", "Medium", J160="L", "Light", J160="D", "Dark", TRUE, "")</f>
        <v>Dark</v>
      </c>
      <c r="P160" t="str">
        <f>_xlfn.XLOOKUP(Table1[[#This Row],[Customer ID]], customers!$A$1:$A$1001, customers!$I$1:$I$1001,, 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INDEX(Product!$A$1:$G$49,MATCH(orders!$D161,Product!$A$1:$A$49,0),MATCH(orders!I$1,Product!$A$1:$G$1,0))</f>
        <v>Lib</v>
      </c>
      <c r="J161" t="str">
        <f>INDEX(Product!$A$1:$G$49,MATCH(orders!$D161,Product!$A$1:$A$49,0),MATCH(orders!J$1,Product!$A$1:$G$1,0))</f>
        <v>L</v>
      </c>
      <c r="K161" s="4">
        <f>INDEX(Product!$A$1:$G$49,MATCH(orders!$D161,Product!$A$1:$A$49,0),MATCH(orders!K$1,Product!$A$1:$G$1,0))</f>
        <v>2.5</v>
      </c>
      <c r="L161" s="5">
        <f>INDEX(Product!$A$1:$G$49,MATCH(orders!$D161,Product!$A$1:$A$49,0),MATCH(orders!L$1,Product!$A$1:$G$1,0))</f>
        <v>36.454999999999998</v>
      </c>
      <c r="M161" s="5">
        <f t="shared" si="2"/>
        <v>218.73</v>
      </c>
      <c r="N161" t="str" cm="1">
        <f t="array" ref="N161">_xlfn.IFS(I161="Rob", "Robusta", I161="Exc", "Excelsa", I161="Ara", "Arabica", I161="Lib", "Liberica", TRUE, "")</f>
        <v>Liberica</v>
      </c>
      <c r="O161" t="str" cm="1">
        <f t="array" ref="O161">_xlfn.IFS(J161="M", "Medium", J161="L", "Light", J161="D", "Dark", TRUE, "")</f>
        <v>Light</v>
      </c>
      <c r="P161" t="str">
        <f>_xlfn.XLOOKUP(Table1[[#This Row],[Customer ID]], customers!$A$1:$A$1001, customers!$I$1:$I$1001,, 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INDEX(Product!$A$1:$G$49,MATCH(orders!$D162,Product!$A$1:$A$49,0),MATCH(orders!I$1,Product!$A$1:$G$1,0))</f>
        <v>Exc</v>
      </c>
      <c r="J162" t="str">
        <f>INDEX(Product!$A$1:$G$49,MATCH(orders!$D162,Product!$A$1:$A$49,0),MATCH(orders!J$1,Product!$A$1:$G$1,0))</f>
        <v>M</v>
      </c>
      <c r="K162" s="4">
        <f>INDEX(Product!$A$1:$G$49,MATCH(orders!$D162,Product!$A$1:$A$49,0),MATCH(orders!K$1,Product!$A$1:$G$1,0))</f>
        <v>0.5</v>
      </c>
      <c r="L162" s="5">
        <f>INDEX(Product!$A$1:$G$49,MATCH(orders!$D162,Product!$A$1:$A$49,0),MATCH(orders!L$1,Product!$A$1:$G$1,0))</f>
        <v>8.25</v>
      </c>
      <c r="M162" s="5">
        <f t="shared" si="2"/>
        <v>33</v>
      </c>
      <c r="N162" t="str" cm="1">
        <f t="array" ref="N162">_xlfn.IFS(I162="Rob", "Robusta", I162="Exc", "Excelsa", I162="Ara", "Arabica", I162="Lib", "Liberica", TRUE, "")</f>
        <v>Excelsa</v>
      </c>
      <c r="O162" t="str" cm="1">
        <f t="array" ref="O162">_xlfn.IFS(J162="M", "Medium", J162="L", "Light", J162="D", "Dark", TRUE, "")</f>
        <v>Medium</v>
      </c>
      <c r="P162" t="str">
        <f>_xlfn.XLOOKUP(Table1[[#This Row],[Customer ID]], customers!$A$1:$A$1001, customers!$I$1:$I$1001,, 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INDEX(Product!$A$1:$G$49,MATCH(orders!$D163,Product!$A$1:$A$49,0),MATCH(orders!I$1,Product!$A$1:$G$1,0))</f>
        <v>Ara</v>
      </c>
      <c r="J163" t="str">
        <f>INDEX(Product!$A$1:$G$49,MATCH(orders!$D163,Product!$A$1:$A$49,0),MATCH(orders!J$1,Product!$A$1:$G$1,0))</f>
        <v>L</v>
      </c>
      <c r="K163" s="4">
        <f>INDEX(Product!$A$1:$G$49,MATCH(orders!$D163,Product!$A$1:$A$49,0),MATCH(orders!K$1,Product!$A$1:$G$1,0))</f>
        <v>0.5</v>
      </c>
      <c r="L163" s="5">
        <f>INDEX(Product!$A$1:$G$49,MATCH(orders!$D163,Product!$A$1:$A$49,0),MATCH(orders!L$1,Product!$A$1:$G$1,0))</f>
        <v>7.77</v>
      </c>
      <c r="M163" s="5">
        <f t="shared" si="2"/>
        <v>23.31</v>
      </c>
      <c r="N163" t="str" cm="1">
        <f t="array" ref="N163">_xlfn.IFS(I163="Rob", "Robusta", I163="Exc", "Excelsa", I163="Ara", "Arabica", I163="Lib", "Liberica", TRUE, "")</f>
        <v>Arabica</v>
      </c>
      <c r="O163" t="str" cm="1">
        <f t="array" ref="O163">_xlfn.IFS(J163="M", "Medium", J163="L", "Light", J163="D", "Dark", TRUE, "")</f>
        <v>Light</v>
      </c>
      <c r="P163" t="str">
        <f>_xlfn.XLOOKUP(Table1[[#This Row],[Customer ID]], customers!$A$1:$A$1001, customers!$I$1:$I$1001,, 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INDEX(Product!$A$1:$G$49,MATCH(orders!$D164,Product!$A$1:$A$49,0),MATCH(orders!I$1,Product!$A$1:$G$1,0))</f>
        <v>Exc</v>
      </c>
      <c r="J164" t="str">
        <f>INDEX(Product!$A$1:$G$49,MATCH(orders!$D164,Product!$A$1:$A$49,0),MATCH(orders!J$1,Product!$A$1:$G$1,0))</f>
        <v>D</v>
      </c>
      <c r="K164" s="4">
        <f>INDEX(Product!$A$1:$G$49,MATCH(orders!$D164,Product!$A$1:$A$49,0),MATCH(orders!K$1,Product!$A$1:$G$1,0))</f>
        <v>0.5</v>
      </c>
      <c r="L164" s="5">
        <f>INDEX(Product!$A$1:$G$49,MATCH(orders!$D164,Product!$A$1:$A$49,0),MATCH(orders!L$1,Product!$A$1:$G$1,0))</f>
        <v>7.29</v>
      </c>
      <c r="M164" s="5">
        <f t="shared" si="2"/>
        <v>21.87</v>
      </c>
      <c r="N164" t="str" cm="1">
        <f t="array" ref="N164">_xlfn.IFS(I164="Rob", "Robusta", I164="Exc", "Excelsa", I164="Ara", "Arabica", I164="Lib", "Liberica", TRUE, "")</f>
        <v>Excelsa</v>
      </c>
      <c r="O164" t="str" cm="1">
        <f t="array" ref="O164">_xlfn.IFS(J164="M", "Medium", J164="L", "Light", J164="D", "Dark", TRUE, "")</f>
        <v>Dark</v>
      </c>
      <c r="P164" t="str">
        <f>_xlfn.XLOOKUP(Table1[[#This Row],[Customer ID]], customers!$A$1:$A$1001, customers!$I$1:$I$1001,, 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INDEX(Product!$A$1:$G$49,MATCH(orders!$D165,Product!$A$1:$A$49,0),MATCH(orders!I$1,Product!$A$1:$G$1,0))</f>
        <v>Rob</v>
      </c>
      <c r="J165" t="str">
        <f>INDEX(Product!$A$1:$G$49,MATCH(orders!$D165,Product!$A$1:$A$49,0),MATCH(orders!J$1,Product!$A$1:$G$1,0))</f>
        <v>D</v>
      </c>
      <c r="K165" s="4">
        <f>INDEX(Product!$A$1:$G$49,MATCH(orders!$D165,Product!$A$1:$A$49,0),MATCH(orders!K$1,Product!$A$1:$G$1,0))</f>
        <v>0.2</v>
      </c>
      <c r="L165" s="5">
        <f>INDEX(Product!$A$1:$G$49,MATCH(orders!$D165,Product!$A$1:$A$49,0),MATCH(orders!L$1,Product!$A$1:$G$1,0))</f>
        <v>2.6849999999999996</v>
      </c>
      <c r="M165" s="5">
        <f t="shared" si="2"/>
        <v>16.11</v>
      </c>
      <c r="N165" t="str" cm="1">
        <f t="array" ref="N165">_xlfn.IFS(I165="Rob", "Robusta", I165="Exc", "Excelsa", I165="Ara", "Arabica", I165="Lib", "Liberica", TRUE, "")</f>
        <v>Robusta</v>
      </c>
      <c r="O165" t="str" cm="1">
        <f t="array" ref="O165">_xlfn.IFS(J165="M", "Medium", J165="L", "Light", J165="D", "Dark", TRUE, "")</f>
        <v>Dark</v>
      </c>
      <c r="P165" t="str">
        <f>_xlfn.XLOOKUP(Table1[[#This Row],[Customer ID]], customers!$A$1:$A$1001, customers!$I$1:$I$1001,, 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INDEX(Product!$A$1:$G$49,MATCH(orders!$D166,Product!$A$1:$A$49,0),MATCH(orders!I$1,Product!$A$1:$G$1,0))</f>
        <v>Exc</v>
      </c>
      <c r="J166" t="str">
        <f>INDEX(Product!$A$1:$G$49,MATCH(orders!$D166,Product!$A$1:$A$49,0),MATCH(orders!J$1,Product!$A$1:$G$1,0))</f>
        <v>D</v>
      </c>
      <c r="K166" s="4">
        <f>INDEX(Product!$A$1:$G$49,MATCH(orders!$D166,Product!$A$1:$A$49,0),MATCH(orders!K$1,Product!$A$1:$G$1,0))</f>
        <v>0.5</v>
      </c>
      <c r="L166" s="5">
        <f>INDEX(Product!$A$1:$G$49,MATCH(orders!$D166,Product!$A$1:$A$49,0),MATCH(orders!L$1,Product!$A$1:$G$1,0))</f>
        <v>7.29</v>
      </c>
      <c r="M166" s="5">
        <f t="shared" si="2"/>
        <v>29.16</v>
      </c>
      <c r="N166" t="str" cm="1">
        <f t="array" ref="N166">_xlfn.IFS(I166="Rob", "Robusta", I166="Exc", "Excelsa", I166="Ara", "Arabica", I166="Lib", "Liberica", TRUE, "")</f>
        <v>Excelsa</v>
      </c>
      <c r="O166" t="str" cm="1">
        <f t="array" ref="O166">_xlfn.IFS(J166="M", "Medium", J166="L", "Light", J166="D", "Dark", TRUE, "")</f>
        <v>Dark</v>
      </c>
      <c r="P166" t="str">
        <f>_xlfn.XLOOKUP(Table1[[#This Row],[Customer ID]], customers!$A$1:$A$1001, customers!$I$1:$I$1001,, 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INDEX(Product!$A$1:$G$49,MATCH(orders!$D167,Product!$A$1:$A$49,0),MATCH(orders!I$1,Product!$A$1:$G$1,0))</f>
        <v>Rob</v>
      </c>
      <c r="J167" t="str">
        <f>INDEX(Product!$A$1:$G$49,MATCH(orders!$D167,Product!$A$1:$A$49,0),MATCH(orders!J$1,Product!$A$1:$G$1,0))</f>
        <v>D</v>
      </c>
      <c r="K167" s="4">
        <f>INDEX(Product!$A$1:$G$49,MATCH(orders!$D167,Product!$A$1:$A$49,0),MATCH(orders!K$1,Product!$A$1:$G$1,0))</f>
        <v>1</v>
      </c>
      <c r="L167" s="5">
        <f>INDEX(Product!$A$1:$G$49,MATCH(orders!$D167,Product!$A$1:$A$49,0),MATCH(orders!L$1,Product!$A$1:$G$1,0))</f>
        <v>8.9499999999999993</v>
      </c>
      <c r="M167" s="5">
        <f t="shared" si="2"/>
        <v>53.699999999999996</v>
      </c>
      <c r="N167" t="str" cm="1">
        <f t="array" ref="N167">_xlfn.IFS(I167="Rob", "Robusta", I167="Exc", "Excelsa", I167="Ara", "Arabica", I167="Lib", "Liberica", TRUE, "")</f>
        <v>Robusta</v>
      </c>
      <c r="O167" t="str" cm="1">
        <f t="array" ref="O167">_xlfn.IFS(J167="M", "Medium", J167="L", "Light", J167="D", "Dark", TRUE, "")</f>
        <v>Dark</v>
      </c>
      <c r="P167" t="str">
        <f>_xlfn.XLOOKUP(Table1[[#This Row],[Customer ID]], customers!$A$1:$A$1001, customers!$I$1:$I$1001,, 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INDEX(Product!$A$1:$G$49,MATCH(orders!$D168,Product!$A$1:$A$49,0),MATCH(orders!I$1,Product!$A$1:$G$1,0))</f>
        <v>Rob</v>
      </c>
      <c r="J168" t="str">
        <f>INDEX(Product!$A$1:$G$49,MATCH(orders!$D168,Product!$A$1:$A$49,0),MATCH(orders!J$1,Product!$A$1:$G$1,0))</f>
        <v>D</v>
      </c>
      <c r="K168" s="4">
        <f>INDEX(Product!$A$1:$G$49,MATCH(orders!$D168,Product!$A$1:$A$49,0),MATCH(orders!K$1,Product!$A$1:$G$1,0))</f>
        <v>0.5</v>
      </c>
      <c r="L168" s="5">
        <f>INDEX(Product!$A$1:$G$49,MATCH(orders!$D168,Product!$A$1:$A$49,0),MATCH(orders!L$1,Product!$A$1:$G$1,0))</f>
        <v>5.3699999999999992</v>
      </c>
      <c r="M168" s="5">
        <f t="shared" si="2"/>
        <v>26.849999999999994</v>
      </c>
      <c r="N168" t="str" cm="1">
        <f t="array" ref="N168">_xlfn.IFS(I168="Rob", "Robusta", I168="Exc", "Excelsa", I168="Ara", "Arabica", I168="Lib", "Liberica", TRUE, "")</f>
        <v>Robusta</v>
      </c>
      <c r="O168" t="str" cm="1">
        <f t="array" ref="O168">_xlfn.IFS(J168="M", "Medium", J168="L", "Light", J168="D", "Dark", TRUE, "")</f>
        <v>Dark</v>
      </c>
      <c r="P168" t="str">
        <f>_xlfn.XLOOKUP(Table1[[#This Row],[Customer ID]], customers!$A$1:$A$1001, customers!$I$1:$I$1001,, 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INDEX(Product!$A$1:$G$49,MATCH(orders!$D169,Product!$A$1:$A$49,0),MATCH(orders!I$1,Product!$A$1:$G$1,0))</f>
        <v>Exc</v>
      </c>
      <c r="J169" t="str">
        <f>INDEX(Product!$A$1:$G$49,MATCH(orders!$D169,Product!$A$1:$A$49,0),MATCH(orders!J$1,Product!$A$1:$G$1,0))</f>
        <v>M</v>
      </c>
      <c r="K169" s="4">
        <f>INDEX(Product!$A$1:$G$49,MATCH(orders!$D169,Product!$A$1:$A$49,0),MATCH(orders!K$1,Product!$A$1:$G$1,0))</f>
        <v>0.5</v>
      </c>
      <c r="L169" s="5">
        <f>INDEX(Product!$A$1:$G$49,MATCH(orders!$D169,Product!$A$1:$A$49,0),MATCH(orders!L$1,Product!$A$1:$G$1,0))</f>
        <v>8.25</v>
      </c>
      <c r="M169" s="5">
        <f t="shared" si="2"/>
        <v>41.25</v>
      </c>
      <c r="N169" t="str" cm="1">
        <f t="array" ref="N169">_xlfn.IFS(I169="Rob", "Robusta", I169="Exc", "Excelsa", I169="Ara", "Arabica", I169="Lib", "Liberica", TRUE, "")</f>
        <v>Excelsa</v>
      </c>
      <c r="O169" t="str" cm="1">
        <f t="array" ref="O169">_xlfn.IFS(J169="M", "Medium", J169="L", "Light", J169="D", "Dark", TRUE, "")</f>
        <v>Medium</v>
      </c>
      <c r="P169" t="str">
        <f>_xlfn.XLOOKUP(Table1[[#This Row],[Customer ID]], customers!$A$1:$A$1001, customers!$I$1:$I$1001,, 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INDEX(Product!$A$1:$G$49,MATCH(orders!$D170,Product!$A$1:$A$49,0),MATCH(orders!I$1,Product!$A$1:$G$1,0))</f>
        <v>Ara</v>
      </c>
      <c r="J170" t="str">
        <f>INDEX(Product!$A$1:$G$49,MATCH(orders!$D170,Product!$A$1:$A$49,0),MATCH(orders!J$1,Product!$A$1:$G$1,0))</f>
        <v>M</v>
      </c>
      <c r="K170" s="4">
        <f>INDEX(Product!$A$1:$G$49,MATCH(orders!$D170,Product!$A$1:$A$49,0),MATCH(orders!K$1,Product!$A$1:$G$1,0))</f>
        <v>0.5</v>
      </c>
      <c r="L170" s="5">
        <f>INDEX(Product!$A$1:$G$49,MATCH(orders!$D170,Product!$A$1:$A$49,0),MATCH(orders!L$1,Product!$A$1:$G$1,0))</f>
        <v>6.75</v>
      </c>
      <c r="M170" s="5">
        <f t="shared" si="2"/>
        <v>40.5</v>
      </c>
      <c r="N170" t="str" cm="1">
        <f t="array" ref="N170">_xlfn.IFS(I170="Rob", "Robusta", I170="Exc", "Excelsa", I170="Ara", "Arabica", I170="Lib", "Liberica", TRUE, "")</f>
        <v>Arabica</v>
      </c>
      <c r="O170" t="str" cm="1">
        <f t="array" ref="O170">_xlfn.IFS(J170="M", "Medium", J170="L", "Light", J170="D", "Dark", TRUE, "")</f>
        <v>Medium</v>
      </c>
      <c r="P170" t="str">
        <f>_xlfn.XLOOKUP(Table1[[#This Row],[Customer ID]], customers!$A$1:$A$1001, customers!$I$1:$I$1001,, 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INDEX(Product!$A$1:$G$49,MATCH(orders!$D171,Product!$A$1:$A$49,0),MATCH(orders!I$1,Product!$A$1:$G$1,0))</f>
        <v>Rob</v>
      </c>
      <c r="J171" t="str">
        <f>INDEX(Product!$A$1:$G$49,MATCH(orders!$D171,Product!$A$1:$A$49,0),MATCH(orders!J$1,Product!$A$1:$G$1,0))</f>
        <v>D</v>
      </c>
      <c r="K171" s="4">
        <f>INDEX(Product!$A$1:$G$49,MATCH(orders!$D171,Product!$A$1:$A$49,0),MATCH(orders!K$1,Product!$A$1:$G$1,0))</f>
        <v>1</v>
      </c>
      <c r="L171" s="5">
        <f>INDEX(Product!$A$1:$G$49,MATCH(orders!$D171,Product!$A$1:$A$49,0),MATCH(orders!L$1,Product!$A$1:$G$1,0))</f>
        <v>8.9499999999999993</v>
      </c>
      <c r="M171" s="5">
        <f t="shared" si="2"/>
        <v>17.899999999999999</v>
      </c>
      <c r="N171" t="str" cm="1">
        <f t="array" ref="N171">_xlfn.IFS(I171="Rob", "Robusta", I171="Exc", "Excelsa", I171="Ara", "Arabica", I171="Lib", "Liberica", TRUE, "")</f>
        <v>Robusta</v>
      </c>
      <c r="O171" t="str" cm="1">
        <f t="array" ref="O171">_xlfn.IFS(J171="M", "Medium", J171="L", "Light", J171="D", "Dark", TRUE, "")</f>
        <v>Dark</v>
      </c>
      <c r="P171" t="str">
        <f>_xlfn.XLOOKUP(Table1[[#This Row],[Customer ID]], customers!$A$1:$A$1001, customers!$I$1:$I$1001,, 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INDEX(Product!$A$1:$G$49,MATCH(orders!$D172,Product!$A$1:$A$49,0),MATCH(orders!I$1,Product!$A$1:$G$1,0))</f>
        <v>Exc</v>
      </c>
      <c r="J172" t="str">
        <f>INDEX(Product!$A$1:$G$49,MATCH(orders!$D172,Product!$A$1:$A$49,0),MATCH(orders!J$1,Product!$A$1:$G$1,0))</f>
        <v>L</v>
      </c>
      <c r="K172" s="4">
        <f>INDEX(Product!$A$1:$G$49,MATCH(orders!$D172,Product!$A$1:$A$49,0),MATCH(orders!K$1,Product!$A$1:$G$1,0))</f>
        <v>2.5</v>
      </c>
      <c r="L172" s="5">
        <f>INDEX(Product!$A$1:$G$49,MATCH(orders!$D172,Product!$A$1:$A$49,0),MATCH(orders!L$1,Product!$A$1:$G$1,0))</f>
        <v>34.154999999999994</v>
      </c>
      <c r="M172" s="5">
        <f t="shared" si="2"/>
        <v>68.309999999999988</v>
      </c>
      <c r="N172" t="str" cm="1">
        <f t="array" ref="N172">_xlfn.IFS(I172="Rob", "Robusta", I172="Exc", "Excelsa", I172="Ara", "Arabica", I172="Lib", "Liberica", TRUE, "")</f>
        <v>Excelsa</v>
      </c>
      <c r="O172" t="str" cm="1">
        <f t="array" ref="O172">_xlfn.IFS(J172="M", "Medium", J172="L", "Light", J172="D", "Dark", TRUE, "")</f>
        <v>Light</v>
      </c>
      <c r="P172" t="str">
        <f>_xlfn.XLOOKUP(Table1[[#This Row],[Customer ID]], customers!$A$1:$A$1001, customers!$I$1:$I$1001,, 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INDEX(Product!$A$1:$G$49,MATCH(orders!$D173,Product!$A$1:$A$49,0),MATCH(orders!I$1,Product!$A$1:$G$1,0))</f>
        <v>Exc</v>
      </c>
      <c r="J173" t="str">
        <f>INDEX(Product!$A$1:$G$49,MATCH(orders!$D173,Product!$A$1:$A$49,0),MATCH(orders!J$1,Product!$A$1:$G$1,0))</f>
        <v>M</v>
      </c>
      <c r="K173" s="4">
        <f>INDEX(Product!$A$1:$G$49,MATCH(orders!$D173,Product!$A$1:$A$49,0),MATCH(orders!K$1,Product!$A$1:$G$1,0))</f>
        <v>2.5</v>
      </c>
      <c r="L173" s="5">
        <f>INDEX(Product!$A$1:$G$49,MATCH(orders!$D173,Product!$A$1:$A$49,0),MATCH(orders!L$1,Product!$A$1:$G$1,0))</f>
        <v>31.624999999999996</v>
      </c>
      <c r="M173" s="5">
        <f t="shared" si="2"/>
        <v>63.249999999999993</v>
      </c>
      <c r="N173" t="str" cm="1">
        <f t="array" ref="N173">_xlfn.IFS(I173="Rob", "Robusta", I173="Exc", "Excelsa", I173="Ara", "Arabica", I173="Lib", "Liberica", TRUE, "")</f>
        <v>Excelsa</v>
      </c>
      <c r="O173" t="str" cm="1">
        <f t="array" ref="O173">_xlfn.IFS(J173="M", "Medium", J173="L", "Light", J173="D", "Dark", TRUE, "")</f>
        <v>Medium</v>
      </c>
      <c r="P173" t="str">
        <f>_xlfn.XLOOKUP(Table1[[#This Row],[Customer ID]], customers!$A$1:$A$1001, customers!$I$1:$I$1001,, 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INDEX(Product!$A$1:$G$49,MATCH(orders!$D174,Product!$A$1:$A$49,0),MATCH(orders!I$1,Product!$A$1:$G$1,0))</f>
        <v>Exc</v>
      </c>
      <c r="J174" t="str">
        <f>INDEX(Product!$A$1:$G$49,MATCH(orders!$D174,Product!$A$1:$A$49,0),MATCH(orders!J$1,Product!$A$1:$G$1,0))</f>
        <v>D</v>
      </c>
      <c r="K174" s="4">
        <f>INDEX(Product!$A$1:$G$49,MATCH(orders!$D174,Product!$A$1:$A$49,0),MATCH(orders!K$1,Product!$A$1:$G$1,0))</f>
        <v>0.5</v>
      </c>
      <c r="L174" s="5">
        <f>INDEX(Product!$A$1:$G$49,MATCH(orders!$D174,Product!$A$1:$A$49,0),MATCH(orders!L$1,Product!$A$1:$G$1,0))</f>
        <v>7.29</v>
      </c>
      <c r="M174" s="5">
        <f t="shared" si="2"/>
        <v>21.87</v>
      </c>
      <c r="N174" t="str" cm="1">
        <f t="array" ref="N174">_xlfn.IFS(I174="Rob", "Robusta", I174="Exc", "Excelsa", I174="Ara", "Arabica", I174="Lib", "Liberica", TRUE, "")</f>
        <v>Excelsa</v>
      </c>
      <c r="O174" t="str" cm="1">
        <f t="array" ref="O174">_xlfn.IFS(J174="M", "Medium", J174="L", "Light", J174="D", "Dark", TRUE, "")</f>
        <v>Dark</v>
      </c>
      <c r="P174" t="str">
        <f>_xlfn.XLOOKUP(Table1[[#This Row],[Customer ID]], customers!$A$1:$A$1001, customers!$I$1:$I$1001,, 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INDEX(Product!$A$1:$G$49,MATCH(orders!$D175,Product!$A$1:$A$49,0),MATCH(orders!I$1,Product!$A$1:$G$1,0))</f>
        <v>Rob</v>
      </c>
      <c r="J175" t="str">
        <f>INDEX(Product!$A$1:$G$49,MATCH(orders!$D175,Product!$A$1:$A$49,0),MATCH(orders!J$1,Product!$A$1:$G$1,0))</f>
        <v>M</v>
      </c>
      <c r="K175" s="4">
        <f>INDEX(Product!$A$1:$G$49,MATCH(orders!$D175,Product!$A$1:$A$49,0),MATCH(orders!K$1,Product!$A$1:$G$1,0))</f>
        <v>2.5</v>
      </c>
      <c r="L175" s="5">
        <f>INDEX(Product!$A$1:$G$49,MATCH(orders!$D175,Product!$A$1:$A$49,0),MATCH(orders!L$1,Product!$A$1:$G$1,0))</f>
        <v>22.884999999999998</v>
      </c>
      <c r="M175" s="5">
        <f t="shared" si="2"/>
        <v>91.539999999999992</v>
      </c>
      <c r="N175" t="str" cm="1">
        <f t="array" ref="N175">_xlfn.IFS(I175="Rob", "Robusta", I175="Exc", "Excelsa", I175="Ara", "Arabica", I175="Lib", "Liberica", TRUE, "")</f>
        <v>Robusta</v>
      </c>
      <c r="O175" t="str" cm="1">
        <f t="array" ref="O175">_xlfn.IFS(J175="M", "Medium", J175="L", "Light", J175="D", "Dark", TRUE, "")</f>
        <v>Medium</v>
      </c>
      <c r="P175" t="str">
        <f>_xlfn.XLOOKUP(Table1[[#This Row],[Customer ID]], customers!$A$1:$A$1001, customers!$I$1:$I$1001,, 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INDEX(Product!$A$1:$G$49,MATCH(orders!$D176,Product!$A$1:$A$49,0),MATCH(orders!I$1,Product!$A$1:$G$1,0))</f>
        <v>Exc</v>
      </c>
      <c r="J176" t="str">
        <f>INDEX(Product!$A$1:$G$49,MATCH(orders!$D176,Product!$A$1:$A$49,0),MATCH(orders!J$1,Product!$A$1:$G$1,0))</f>
        <v>L</v>
      </c>
      <c r="K176" s="4">
        <f>INDEX(Product!$A$1:$G$49,MATCH(orders!$D176,Product!$A$1:$A$49,0),MATCH(orders!K$1,Product!$A$1:$G$1,0))</f>
        <v>2.5</v>
      </c>
      <c r="L176" s="5">
        <f>INDEX(Product!$A$1:$G$49,MATCH(orders!$D176,Product!$A$1:$A$49,0),MATCH(orders!L$1,Product!$A$1:$G$1,0))</f>
        <v>34.154999999999994</v>
      </c>
      <c r="M176" s="5">
        <f t="shared" si="2"/>
        <v>204.92999999999995</v>
      </c>
      <c r="N176" t="str" cm="1">
        <f t="array" ref="N176">_xlfn.IFS(I176="Rob", "Robusta", I176="Exc", "Excelsa", I176="Ara", "Arabica", I176="Lib", "Liberica", TRUE, "")</f>
        <v>Excelsa</v>
      </c>
      <c r="O176" t="str" cm="1">
        <f t="array" ref="O176">_xlfn.IFS(J176="M", "Medium", J176="L", "Light", J176="D", "Dark", TRUE, "")</f>
        <v>Light</v>
      </c>
      <c r="P176" t="str">
        <f>_xlfn.XLOOKUP(Table1[[#This Row],[Customer ID]], customers!$A$1:$A$1001, customers!$I$1:$I$1001,, 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INDEX(Product!$A$1:$G$49,MATCH(orders!$D177,Product!$A$1:$A$49,0),MATCH(orders!I$1,Product!$A$1:$G$1,0))</f>
        <v>Exc</v>
      </c>
      <c r="J177" t="str">
        <f>INDEX(Product!$A$1:$G$49,MATCH(orders!$D177,Product!$A$1:$A$49,0),MATCH(orders!J$1,Product!$A$1:$G$1,0))</f>
        <v>M</v>
      </c>
      <c r="K177" s="4">
        <f>INDEX(Product!$A$1:$G$49,MATCH(orders!$D177,Product!$A$1:$A$49,0),MATCH(orders!K$1,Product!$A$1:$G$1,0))</f>
        <v>2.5</v>
      </c>
      <c r="L177" s="5">
        <f>INDEX(Product!$A$1:$G$49,MATCH(orders!$D177,Product!$A$1:$A$49,0),MATCH(orders!L$1,Product!$A$1:$G$1,0))</f>
        <v>31.624999999999996</v>
      </c>
      <c r="M177" s="5">
        <f t="shared" si="2"/>
        <v>63.249999999999993</v>
      </c>
      <c r="N177" t="str" cm="1">
        <f t="array" ref="N177">_xlfn.IFS(I177="Rob", "Robusta", I177="Exc", "Excelsa", I177="Ara", "Arabica", I177="Lib", "Liberica", TRUE, "")</f>
        <v>Excelsa</v>
      </c>
      <c r="O177" t="str" cm="1">
        <f t="array" ref="O177">_xlfn.IFS(J177="M", "Medium", J177="L", "Light", J177="D", "Dark", TRUE, "")</f>
        <v>Medium</v>
      </c>
      <c r="P177" t="str">
        <f>_xlfn.XLOOKUP(Table1[[#This Row],[Customer ID]], customers!$A$1:$A$1001, customers!$I$1:$I$1001,, 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INDEX(Product!$A$1:$G$49,MATCH(orders!$D178,Product!$A$1:$A$49,0),MATCH(orders!I$1,Product!$A$1:$G$1,0))</f>
        <v>Exc</v>
      </c>
      <c r="J178" t="str">
        <f>INDEX(Product!$A$1:$G$49,MATCH(orders!$D178,Product!$A$1:$A$49,0),MATCH(orders!J$1,Product!$A$1:$G$1,0))</f>
        <v>L</v>
      </c>
      <c r="K178" s="4">
        <f>INDEX(Product!$A$1:$G$49,MATCH(orders!$D178,Product!$A$1:$A$49,0),MATCH(orders!K$1,Product!$A$1:$G$1,0))</f>
        <v>2.5</v>
      </c>
      <c r="L178" s="5">
        <f>INDEX(Product!$A$1:$G$49,MATCH(orders!$D178,Product!$A$1:$A$49,0),MATCH(orders!L$1,Product!$A$1:$G$1,0))</f>
        <v>34.154999999999994</v>
      </c>
      <c r="M178" s="5">
        <f t="shared" si="2"/>
        <v>34.154999999999994</v>
      </c>
      <c r="N178" t="str" cm="1">
        <f t="array" ref="N178">_xlfn.IFS(I178="Rob", "Robusta", I178="Exc", "Excelsa", I178="Ara", "Arabica", I178="Lib", "Liberica", TRUE, "")</f>
        <v>Excelsa</v>
      </c>
      <c r="O178" t="str" cm="1">
        <f t="array" ref="O178">_xlfn.IFS(J178="M", "Medium", J178="L", "Light", J178="D", "Dark", TRUE, "")</f>
        <v>Light</v>
      </c>
      <c r="P178" t="str">
        <f>_xlfn.XLOOKUP(Table1[[#This Row],[Customer ID]], customers!$A$1:$A$1001, customers!$I$1:$I$1001,, 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INDEX(Product!$A$1:$G$49,MATCH(orders!$D179,Product!$A$1:$A$49,0),MATCH(orders!I$1,Product!$A$1:$G$1,0))</f>
        <v>Rob</v>
      </c>
      <c r="J179" t="str">
        <f>INDEX(Product!$A$1:$G$49,MATCH(orders!$D179,Product!$A$1:$A$49,0),MATCH(orders!J$1,Product!$A$1:$G$1,0))</f>
        <v>L</v>
      </c>
      <c r="K179" s="4">
        <f>INDEX(Product!$A$1:$G$49,MATCH(orders!$D179,Product!$A$1:$A$49,0),MATCH(orders!K$1,Product!$A$1:$G$1,0))</f>
        <v>2.5</v>
      </c>
      <c r="L179" s="5">
        <f>INDEX(Product!$A$1:$G$49,MATCH(orders!$D179,Product!$A$1:$A$49,0),MATCH(orders!L$1,Product!$A$1:$G$1,0))</f>
        <v>27.484999999999996</v>
      </c>
      <c r="M179" s="5">
        <f t="shared" si="2"/>
        <v>109.93999999999998</v>
      </c>
      <c r="N179" t="str" cm="1">
        <f t="array" ref="N179">_xlfn.IFS(I179="Rob", "Robusta", I179="Exc", "Excelsa", I179="Ara", "Arabica", I179="Lib", "Liberica", TRUE, "")</f>
        <v>Robusta</v>
      </c>
      <c r="O179" t="str" cm="1">
        <f t="array" ref="O179">_xlfn.IFS(J179="M", "Medium", J179="L", "Light", J179="D", "Dark", TRUE, "")</f>
        <v>Light</v>
      </c>
      <c r="P179" t="str">
        <f>_xlfn.XLOOKUP(Table1[[#This Row],[Customer ID]], customers!$A$1:$A$1001, customers!$I$1:$I$1001,, 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INDEX(Product!$A$1:$G$49,MATCH(orders!$D180,Product!$A$1:$A$49,0),MATCH(orders!I$1,Product!$A$1:$G$1,0))</f>
        <v>Ara</v>
      </c>
      <c r="J180" t="str">
        <f>INDEX(Product!$A$1:$G$49,MATCH(orders!$D180,Product!$A$1:$A$49,0),MATCH(orders!J$1,Product!$A$1:$G$1,0))</f>
        <v>L</v>
      </c>
      <c r="K180" s="4">
        <f>INDEX(Product!$A$1:$G$49,MATCH(orders!$D180,Product!$A$1:$A$49,0),MATCH(orders!K$1,Product!$A$1:$G$1,0))</f>
        <v>1</v>
      </c>
      <c r="L180" s="5">
        <f>INDEX(Product!$A$1:$G$49,MATCH(orders!$D180,Product!$A$1:$A$49,0),MATCH(orders!L$1,Product!$A$1:$G$1,0))</f>
        <v>12.95</v>
      </c>
      <c r="M180" s="5">
        <f t="shared" si="2"/>
        <v>25.9</v>
      </c>
      <c r="N180" t="str" cm="1">
        <f t="array" ref="N180">_xlfn.IFS(I180="Rob", "Robusta", I180="Exc", "Excelsa", I180="Ara", "Arabica", I180="Lib", "Liberica", TRUE, "")</f>
        <v>Arabica</v>
      </c>
      <c r="O180" t="str" cm="1">
        <f t="array" ref="O180">_xlfn.IFS(J180="M", "Medium", J180="L", "Light", J180="D", "Dark", TRUE, "")</f>
        <v>Light</v>
      </c>
      <c r="P180" t="str">
        <f>_xlfn.XLOOKUP(Table1[[#This Row],[Customer ID]], customers!$A$1:$A$1001, customers!$I$1:$I$1001,, 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INDEX(Product!$A$1:$G$49,MATCH(orders!$D181,Product!$A$1:$A$49,0),MATCH(orders!I$1,Product!$A$1:$G$1,0))</f>
        <v>Ara</v>
      </c>
      <c r="J181" t="str">
        <f>INDEX(Product!$A$1:$G$49,MATCH(orders!$D181,Product!$A$1:$A$49,0),MATCH(orders!J$1,Product!$A$1:$G$1,0))</f>
        <v>D</v>
      </c>
      <c r="K181" s="4">
        <f>INDEX(Product!$A$1:$G$49,MATCH(orders!$D181,Product!$A$1:$A$49,0),MATCH(orders!K$1,Product!$A$1:$G$1,0))</f>
        <v>0.2</v>
      </c>
      <c r="L181" s="5">
        <f>INDEX(Product!$A$1:$G$49,MATCH(orders!$D181,Product!$A$1:$A$49,0),MATCH(orders!L$1,Product!$A$1:$G$1,0))</f>
        <v>2.9849999999999999</v>
      </c>
      <c r="M181" s="5">
        <f t="shared" si="2"/>
        <v>2.9849999999999999</v>
      </c>
      <c r="N181" t="str" cm="1">
        <f t="array" ref="N181">_xlfn.IFS(I181="Rob", "Robusta", I181="Exc", "Excelsa", I181="Ara", "Arabica", I181="Lib", "Liberica", TRUE, "")</f>
        <v>Arabica</v>
      </c>
      <c r="O181" t="str" cm="1">
        <f t="array" ref="O181">_xlfn.IFS(J181="M", "Medium", J181="L", "Light", J181="D", "Dark", TRUE, "")</f>
        <v>Dark</v>
      </c>
      <c r="P181" t="str">
        <f>_xlfn.XLOOKUP(Table1[[#This Row],[Customer ID]], customers!$A$1:$A$1001, customers!$I$1:$I$1001,, 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INDEX(Product!$A$1:$G$49,MATCH(orders!$D182,Product!$A$1:$A$49,0),MATCH(orders!I$1,Product!$A$1:$G$1,0))</f>
        <v>Exc</v>
      </c>
      <c r="J182" t="str">
        <f>INDEX(Product!$A$1:$G$49,MATCH(orders!$D182,Product!$A$1:$A$49,0),MATCH(orders!J$1,Product!$A$1:$G$1,0))</f>
        <v>L</v>
      </c>
      <c r="K182" s="4">
        <f>INDEX(Product!$A$1:$G$49,MATCH(orders!$D182,Product!$A$1:$A$49,0),MATCH(orders!K$1,Product!$A$1:$G$1,0))</f>
        <v>0.2</v>
      </c>
      <c r="L182" s="5">
        <f>INDEX(Product!$A$1:$G$49,MATCH(orders!$D182,Product!$A$1:$A$49,0),MATCH(orders!L$1,Product!$A$1:$G$1,0))</f>
        <v>4.4550000000000001</v>
      </c>
      <c r="M182" s="5">
        <f t="shared" si="2"/>
        <v>22.274999999999999</v>
      </c>
      <c r="N182" t="str" cm="1">
        <f t="array" ref="N182">_xlfn.IFS(I182="Rob", "Robusta", I182="Exc", "Excelsa", I182="Ara", "Arabica", I182="Lib", "Liberica", TRUE, "")</f>
        <v>Excelsa</v>
      </c>
      <c r="O182" t="str" cm="1">
        <f t="array" ref="O182">_xlfn.IFS(J182="M", "Medium", J182="L", "Light", J182="D", "Dark", TRUE, "")</f>
        <v>Light</v>
      </c>
      <c r="P182" t="str">
        <f>_xlfn.XLOOKUP(Table1[[#This Row],[Customer ID]], customers!$A$1:$A$1001, customers!$I$1:$I$1001,, 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INDEX(Product!$A$1:$G$49,MATCH(orders!$D183,Product!$A$1:$A$49,0),MATCH(orders!I$1,Product!$A$1:$G$1,0))</f>
        <v>Ara</v>
      </c>
      <c r="J183" t="str">
        <f>INDEX(Product!$A$1:$G$49,MATCH(orders!$D183,Product!$A$1:$A$49,0),MATCH(orders!J$1,Product!$A$1:$G$1,0))</f>
        <v>D</v>
      </c>
      <c r="K183" s="4">
        <f>INDEX(Product!$A$1:$G$49,MATCH(orders!$D183,Product!$A$1:$A$49,0),MATCH(orders!K$1,Product!$A$1:$G$1,0))</f>
        <v>0.5</v>
      </c>
      <c r="L183" s="5">
        <f>INDEX(Product!$A$1:$G$49,MATCH(orders!$D183,Product!$A$1:$A$49,0),MATCH(orders!L$1,Product!$A$1:$G$1,0))</f>
        <v>5.97</v>
      </c>
      <c r="M183" s="5">
        <f t="shared" si="2"/>
        <v>29.849999999999998</v>
      </c>
      <c r="N183" t="str" cm="1">
        <f t="array" ref="N183">_xlfn.IFS(I183="Rob", "Robusta", I183="Exc", "Excelsa", I183="Ara", "Arabica", I183="Lib", "Liberica", TRUE, "")</f>
        <v>Arabica</v>
      </c>
      <c r="O183" t="str" cm="1">
        <f t="array" ref="O183">_xlfn.IFS(J183="M", "Medium", J183="L", "Light", J183="D", "Dark", TRUE, "")</f>
        <v>Dark</v>
      </c>
      <c r="P183" t="str">
        <f>_xlfn.XLOOKUP(Table1[[#This Row],[Customer ID]], customers!$A$1:$A$1001, customers!$I$1:$I$1001,, 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INDEX(Product!$A$1:$G$49,MATCH(orders!$D184,Product!$A$1:$A$49,0),MATCH(orders!I$1,Product!$A$1:$G$1,0))</f>
        <v>Rob</v>
      </c>
      <c r="J184" t="str">
        <f>INDEX(Product!$A$1:$G$49,MATCH(orders!$D184,Product!$A$1:$A$49,0),MATCH(orders!J$1,Product!$A$1:$G$1,0))</f>
        <v>D</v>
      </c>
      <c r="K184" s="4">
        <f>INDEX(Product!$A$1:$G$49,MATCH(orders!$D184,Product!$A$1:$A$49,0),MATCH(orders!K$1,Product!$A$1:$G$1,0))</f>
        <v>0.5</v>
      </c>
      <c r="L184" s="5">
        <f>INDEX(Product!$A$1:$G$49,MATCH(orders!$D184,Product!$A$1:$A$49,0),MATCH(orders!L$1,Product!$A$1:$G$1,0))</f>
        <v>5.3699999999999992</v>
      </c>
      <c r="M184" s="5">
        <f t="shared" si="2"/>
        <v>32.22</v>
      </c>
      <c r="N184" t="str" cm="1">
        <f t="array" ref="N184">_xlfn.IFS(I184="Rob", "Robusta", I184="Exc", "Excelsa", I184="Ara", "Arabica", I184="Lib", "Liberica", TRUE, "")</f>
        <v>Robusta</v>
      </c>
      <c r="O184" t="str" cm="1">
        <f t="array" ref="O184">_xlfn.IFS(J184="M", "Medium", J184="L", "Light", J184="D", "Dark", TRUE, "")</f>
        <v>Dark</v>
      </c>
      <c r="P184" t="str">
        <f>_xlfn.XLOOKUP(Table1[[#This Row],[Customer ID]], customers!$A$1:$A$1001, customers!$I$1:$I$1001,, 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INDEX(Product!$A$1:$G$49,MATCH(orders!$D185,Product!$A$1:$A$49,0),MATCH(orders!I$1,Product!$A$1:$G$1,0))</f>
        <v>Exc</v>
      </c>
      <c r="J185" t="str">
        <f>INDEX(Product!$A$1:$G$49,MATCH(orders!$D185,Product!$A$1:$A$49,0),MATCH(orders!J$1,Product!$A$1:$G$1,0))</f>
        <v>M</v>
      </c>
      <c r="K185" s="4">
        <f>INDEX(Product!$A$1:$G$49,MATCH(orders!$D185,Product!$A$1:$A$49,0),MATCH(orders!K$1,Product!$A$1:$G$1,0))</f>
        <v>0.2</v>
      </c>
      <c r="L185" s="5">
        <f>INDEX(Product!$A$1:$G$49,MATCH(orders!$D185,Product!$A$1:$A$49,0),MATCH(orders!L$1,Product!$A$1:$G$1,0))</f>
        <v>4.125</v>
      </c>
      <c r="M185" s="5">
        <f t="shared" si="2"/>
        <v>8.25</v>
      </c>
      <c r="N185" t="str" cm="1">
        <f t="array" ref="N185">_xlfn.IFS(I185="Rob", "Robusta", I185="Exc", "Excelsa", I185="Ara", "Arabica", I185="Lib", "Liberica", TRUE, "")</f>
        <v>Excelsa</v>
      </c>
      <c r="O185" t="str" cm="1">
        <f t="array" ref="O185">_xlfn.IFS(J185="M", "Medium", J185="L", "Light", J185="D", "Dark", TRUE, "")</f>
        <v>Medium</v>
      </c>
      <c r="P185" t="str">
        <f>_xlfn.XLOOKUP(Table1[[#This Row],[Customer ID]], customers!$A$1:$A$1001, customers!$I$1:$I$1001,, 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INDEX(Product!$A$1:$G$49,MATCH(orders!$D186,Product!$A$1:$A$49,0),MATCH(orders!I$1,Product!$A$1:$G$1,0))</f>
        <v>Ara</v>
      </c>
      <c r="J186" t="str">
        <f>INDEX(Product!$A$1:$G$49,MATCH(orders!$D186,Product!$A$1:$A$49,0),MATCH(orders!J$1,Product!$A$1:$G$1,0))</f>
        <v>L</v>
      </c>
      <c r="K186" s="4">
        <f>INDEX(Product!$A$1:$G$49,MATCH(orders!$D186,Product!$A$1:$A$49,0),MATCH(orders!K$1,Product!$A$1:$G$1,0))</f>
        <v>0.5</v>
      </c>
      <c r="L186" s="5">
        <f>INDEX(Product!$A$1:$G$49,MATCH(orders!$D186,Product!$A$1:$A$49,0),MATCH(orders!L$1,Product!$A$1:$G$1,0))</f>
        <v>7.77</v>
      </c>
      <c r="M186" s="5">
        <f t="shared" si="2"/>
        <v>31.08</v>
      </c>
      <c r="N186" t="str" cm="1">
        <f t="array" ref="N186">_xlfn.IFS(I186="Rob", "Robusta", I186="Exc", "Excelsa", I186="Ara", "Arabica", I186="Lib", "Liberica", TRUE, "")</f>
        <v>Arabica</v>
      </c>
      <c r="O186" t="str" cm="1">
        <f t="array" ref="O186">_xlfn.IFS(J186="M", "Medium", J186="L", "Light", J186="D", "Dark", TRUE, "")</f>
        <v>Light</v>
      </c>
      <c r="P186" t="str">
        <f>_xlfn.XLOOKUP(Table1[[#This Row],[Customer ID]], customers!$A$1:$A$1001, customers!$I$1:$I$1001,, 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INDEX(Product!$A$1:$G$49,MATCH(orders!$D187,Product!$A$1:$A$49,0),MATCH(orders!I$1,Product!$A$1:$G$1,0))</f>
        <v>Exc</v>
      </c>
      <c r="J187" t="str">
        <f>INDEX(Product!$A$1:$G$49,MATCH(orders!$D187,Product!$A$1:$A$49,0),MATCH(orders!J$1,Product!$A$1:$G$1,0))</f>
        <v>D</v>
      </c>
      <c r="K187" s="4">
        <f>INDEX(Product!$A$1:$G$49,MATCH(orders!$D187,Product!$A$1:$A$49,0),MATCH(orders!K$1,Product!$A$1:$G$1,0))</f>
        <v>0.5</v>
      </c>
      <c r="L187" s="5">
        <f>INDEX(Product!$A$1:$G$49,MATCH(orders!$D187,Product!$A$1:$A$49,0),MATCH(orders!L$1,Product!$A$1:$G$1,0))</f>
        <v>7.29</v>
      </c>
      <c r="M187" s="5">
        <f t="shared" si="2"/>
        <v>36.450000000000003</v>
      </c>
      <c r="N187" t="str" cm="1">
        <f t="array" ref="N187">_xlfn.IFS(I187="Rob", "Robusta", I187="Exc", "Excelsa", I187="Ara", "Arabica", I187="Lib", "Liberica", TRUE, "")</f>
        <v>Excelsa</v>
      </c>
      <c r="O187" t="str" cm="1">
        <f t="array" ref="O187">_xlfn.IFS(J187="M", "Medium", J187="L", "Light", J187="D", "Dark", TRUE, "")</f>
        <v>Dark</v>
      </c>
      <c r="P187" t="str">
        <f>_xlfn.XLOOKUP(Table1[[#This Row],[Customer ID]], customers!$A$1:$A$1001, customers!$I$1:$I$1001,, 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INDEX(Product!$A$1:$G$49,MATCH(orders!$D188,Product!$A$1:$A$49,0),MATCH(orders!I$1,Product!$A$1:$G$1,0))</f>
        <v>Rob</v>
      </c>
      <c r="J188" t="str">
        <f>INDEX(Product!$A$1:$G$49,MATCH(orders!$D188,Product!$A$1:$A$49,0),MATCH(orders!J$1,Product!$A$1:$G$1,0))</f>
        <v>M</v>
      </c>
      <c r="K188" s="4">
        <f>INDEX(Product!$A$1:$G$49,MATCH(orders!$D188,Product!$A$1:$A$49,0),MATCH(orders!K$1,Product!$A$1:$G$1,0))</f>
        <v>2.5</v>
      </c>
      <c r="L188" s="5">
        <f>INDEX(Product!$A$1:$G$49,MATCH(orders!$D188,Product!$A$1:$A$49,0),MATCH(orders!L$1,Product!$A$1:$G$1,0))</f>
        <v>22.884999999999998</v>
      </c>
      <c r="M188" s="5">
        <f t="shared" si="2"/>
        <v>68.655000000000001</v>
      </c>
      <c r="N188" t="str" cm="1">
        <f t="array" ref="N188">_xlfn.IFS(I188="Rob", "Robusta", I188="Exc", "Excelsa", I188="Ara", "Arabica", I188="Lib", "Liberica", TRUE, "")</f>
        <v>Robusta</v>
      </c>
      <c r="O188" t="str" cm="1">
        <f t="array" ref="O188">_xlfn.IFS(J188="M", "Medium", J188="L", "Light", J188="D", "Dark", TRUE, "")</f>
        <v>Medium</v>
      </c>
      <c r="P188" t="str">
        <f>_xlfn.XLOOKUP(Table1[[#This Row],[Customer ID]], customers!$A$1:$A$1001, customers!$I$1:$I$1001,, 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INDEX(Product!$A$1:$G$49,MATCH(orders!$D189,Product!$A$1:$A$49,0),MATCH(orders!I$1,Product!$A$1:$G$1,0))</f>
        <v>Lib</v>
      </c>
      <c r="J189" t="str">
        <f>INDEX(Product!$A$1:$G$49,MATCH(orders!$D189,Product!$A$1:$A$49,0),MATCH(orders!J$1,Product!$A$1:$G$1,0))</f>
        <v>M</v>
      </c>
      <c r="K189" s="4">
        <f>INDEX(Product!$A$1:$G$49,MATCH(orders!$D189,Product!$A$1:$A$49,0),MATCH(orders!K$1,Product!$A$1:$G$1,0))</f>
        <v>0.5</v>
      </c>
      <c r="L189" s="5">
        <f>INDEX(Product!$A$1:$G$49,MATCH(orders!$D189,Product!$A$1:$A$49,0),MATCH(orders!L$1,Product!$A$1:$G$1,0))</f>
        <v>8.73</v>
      </c>
      <c r="M189" s="5">
        <f t="shared" si="2"/>
        <v>43.650000000000006</v>
      </c>
      <c r="N189" t="str" cm="1">
        <f t="array" ref="N189">_xlfn.IFS(I189="Rob", "Robusta", I189="Exc", "Excelsa", I189="Ara", "Arabica", I189="Lib", "Liberica", TRUE, "")</f>
        <v>Liberica</v>
      </c>
      <c r="O189" t="str" cm="1">
        <f t="array" ref="O189">_xlfn.IFS(J189="M", "Medium", J189="L", "Light", J189="D", "Dark", TRUE, "")</f>
        <v>Medium</v>
      </c>
      <c r="P189" t="str">
        <f>_xlfn.XLOOKUP(Table1[[#This Row],[Customer ID]], customers!$A$1:$A$1001, customers!$I$1:$I$1001,, 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INDEX(Product!$A$1:$G$49,MATCH(orders!$D190,Product!$A$1:$A$49,0),MATCH(orders!I$1,Product!$A$1:$G$1,0))</f>
        <v>Exc</v>
      </c>
      <c r="J190" t="str">
        <f>INDEX(Product!$A$1:$G$49,MATCH(orders!$D190,Product!$A$1:$A$49,0),MATCH(orders!J$1,Product!$A$1:$G$1,0))</f>
        <v>L</v>
      </c>
      <c r="K190" s="4">
        <f>INDEX(Product!$A$1:$G$49,MATCH(orders!$D190,Product!$A$1:$A$49,0),MATCH(orders!K$1,Product!$A$1:$G$1,0))</f>
        <v>0.2</v>
      </c>
      <c r="L190" s="5">
        <f>INDEX(Product!$A$1:$G$49,MATCH(orders!$D190,Product!$A$1:$A$49,0),MATCH(orders!L$1,Product!$A$1:$G$1,0))</f>
        <v>4.4550000000000001</v>
      </c>
      <c r="M190" s="5">
        <f t="shared" si="2"/>
        <v>4.4550000000000001</v>
      </c>
      <c r="N190" t="str" cm="1">
        <f t="array" ref="N190">_xlfn.IFS(I190="Rob", "Robusta", I190="Exc", "Excelsa", I190="Ara", "Arabica", I190="Lib", "Liberica", TRUE, "")</f>
        <v>Excelsa</v>
      </c>
      <c r="O190" t="str" cm="1">
        <f t="array" ref="O190">_xlfn.IFS(J190="M", "Medium", J190="L", "Light", J190="D", "Dark", TRUE, "")</f>
        <v>Light</v>
      </c>
      <c r="P190" t="str">
        <f>_xlfn.XLOOKUP(Table1[[#This Row],[Customer ID]], customers!$A$1:$A$1001, customers!$I$1:$I$1001,, 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INDEX(Product!$A$1:$G$49,MATCH(orders!$D191,Product!$A$1:$A$49,0),MATCH(orders!I$1,Product!$A$1:$G$1,0))</f>
        <v>Lib</v>
      </c>
      <c r="J191" t="str">
        <f>INDEX(Product!$A$1:$G$49,MATCH(orders!$D191,Product!$A$1:$A$49,0),MATCH(orders!J$1,Product!$A$1:$G$1,0))</f>
        <v>M</v>
      </c>
      <c r="K191" s="4">
        <f>INDEX(Product!$A$1:$G$49,MATCH(orders!$D191,Product!$A$1:$A$49,0),MATCH(orders!K$1,Product!$A$1:$G$1,0))</f>
        <v>1</v>
      </c>
      <c r="L191" s="5">
        <f>INDEX(Product!$A$1:$G$49,MATCH(orders!$D191,Product!$A$1:$A$49,0),MATCH(orders!L$1,Product!$A$1:$G$1,0))</f>
        <v>14.55</v>
      </c>
      <c r="M191" s="5">
        <f t="shared" si="2"/>
        <v>43.650000000000006</v>
      </c>
      <c r="N191" t="str" cm="1">
        <f t="array" ref="N191">_xlfn.IFS(I191="Rob", "Robusta", I191="Exc", "Excelsa", I191="Ara", "Arabica", I191="Lib", "Liberica", TRUE, "")</f>
        <v>Liberica</v>
      </c>
      <c r="O191" t="str" cm="1">
        <f t="array" ref="O191">_xlfn.IFS(J191="M", "Medium", J191="L", "Light", J191="D", "Dark", TRUE, "")</f>
        <v>Medium</v>
      </c>
      <c r="P191" t="str">
        <f>_xlfn.XLOOKUP(Table1[[#This Row],[Customer ID]], customers!$A$1:$A$1001, customers!$I$1:$I$1001,, 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INDEX(Product!$A$1:$G$49,MATCH(orders!$D192,Product!$A$1:$A$49,0),MATCH(orders!I$1,Product!$A$1:$G$1,0))</f>
        <v>Lib</v>
      </c>
      <c r="J192" t="str">
        <f>INDEX(Product!$A$1:$G$49,MATCH(orders!$D192,Product!$A$1:$A$49,0),MATCH(orders!J$1,Product!$A$1:$G$1,0))</f>
        <v>M</v>
      </c>
      <c r="K192" s="4">
        <f>INDEX(Product!$A$1:$G$49,MATCH(orders!$D192,Product!$A$1:$A$49,0),MATCH(orders!K$1,Product!$A$1:$G$1,0))</f>
        <v>2.5</v>
      </c>
      <c r="L192" s="5">
        <f>INDEX(Product!$A$1:$G$49,MATCH(orders!$D192,Product!$A$1:$A$49,0),MATCH(orders!L$1,Product!$A$1:$G$1,0))</f>
        <v>33.464999999999996</v>
      </c>
      <c r="M192" s="5">
        <f t="shared" si="2"/>
        <v>33.464999999999996</v>
      </c>
      <c r="N192" t="str" cm="1">
        <f t="array" ref="N192">_xlfn.IFS(I192="Rob", "Robusta", I192="Exc", "Excelsa", I192="Ara", "Arabica", I192="Lib", "Liberica", TRUE, "")</f>
        <v>Liberica</v>
      </c>
      <c r="O192" t="str" cm="1">
        <f t="array" ref="O192">_xlfn.IFS(J192="M", "Medium", J192="L", "Light", J192="D", "Dark", TRUE, "")</f>
        <v>Medium</v>
      </c>
      <c r="P192" t="str">
        <f>_xlfn.XLOOKUP(Table1[[#This Row],[Customer ID]], customers!$A$1:$A$1001, customers!$I$1:$I$1001,, 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INDEX(Product!$A$1:$G$49,MATCH(orders!$D193,Product!$A$1:$A$49,0),MATCH(orders!I$1,Product!$A$1:$G$1,0))</f>
        <v>Lib</v>
      </c>
      <c r="J193" t="str">
        <f>INDEX(Product!$A$1:$G$49,MATCH(orders!$D193,Product!$A$1:$A$49,0),MATCH(orders!J$1,Product!$A$1:$G$1,0))</f>
        <v>D</v>
      </c>
      <c r="K193" s="4">
        <f>INDEX(Product!$A$1:$G$49,MATCH(orders!$D193,Product!$A$1:$A$49,0),MATCH(orders!K$1,Product!$A$1:$G$1,0))</f>
        <v>0.2</v>
      </c>
      <c r="L193" s="5">
        <f>INDEX(Product!$A$1:$G$49,MATCH(orders!$D193,Product!$A$1:$A$49,0),MATCH(orders!L$1,Product!$A$1:$G$1,0))</f>
        <v>3.8849999999999998</v>
      </c>
      <c r="M193" s="5">
        <f t="shared" si="2"/>
        <v>19.424999999999997</v>
      </c>
      <c r="N193" t="str" cm="1">
        <f t="array" ref="N193">_xlfn.IFS(I193="Rob", "Robusta", I193="Exc", "Excelsa", I193="Ara", "Arabica", I193="Lib", "Liberica", TRUE, "")</f>
        <v>Liberica</v>
      </c>
      <c r="O193" t="str" cm="1">
        <f t="array" ref="O193">_xlfn.IFS(J193="M", "Medium", J193="L", "Light", J193="D", "Dark", TRUE, "")</f>
        <v>Dark</v>
      </c>
      <c r="P193" t="str">
        <f>_xlfn.XLOOKUP(Table1[[#This Row],[Customer ID]], customers!$A$1:$A$1001, customers!$I$1:$I$1001,, 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INDEX(Product!$A$1:$G$49,MATCH(orders!$D194,Product!$A$1:$A$49,0),MATCH(orders!I$1,Product!$A$1:$G$1,0))</f>
        <v>Exc</v>
      </c>
      <c r="J194" t="str">
        <f>INDEX(Product!$A$1:$G$49,MATCH(orders!$D194,Product!$A$1:$A$49,0),MATCH(orders!J$1,Product!$A$1:$G$1,0))</f>
        <v>D</v>
      </c>
      <c r="K194" s="4">
        <f>INDEX(Product!$A$1:$G$49,MATCH(orders!$D194,Product!$A$1:$A$49,0),MATCH(orders!K$1,Product!$A$1:$G$1,0))</f>
        <v>1</v>
      </c>
      <c r="L194" s="5">
        <f>INDEX(Product!$A$1:$G$49,MATCH(orders!$D194,Product!$A$1:$A$49,0),MATCH(orders!L$1,Product!$A$1:$G$1,0))</f>
        <v>12.15</v>
      </c>
      <c r="M194" s="5">
        <f t="shared" ref="M194:M257" si="3">L194*E194</f>
        <v>72.900000000000006</v>
      </c>
      <c r="N194" t="str" cm="1">
        <f t="array" ref="N194">_xlfn.IFS(I194="Rob", "Robusta", I194="Exc", "Excelsa", I194="Ara", "Arabica", I194="Lib", "Liberica", TRUE, "")</f>
        <v>Excelsa</v>
      </c>
      <c r="O194" t="str" cm="1">
        <f t="array" ref="O194">_xlfn.IFS(J194="M", "Medium", J194="L", "Light", J194="D", "Dark", TRUE, "")</f>
        <v>Dark</v>
      </c>
      <c r="P194" t="str">
        <f>_xlfn.XLOOKUP(Table1[[#This Row],[Customer ID]], customers!$A$1:$A$1001, customers!$I$1:$I$1001,, 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INDEX(Product!$A$1:$G$49,MATCH(orders!$D195,Product!$A$1:$A$49,0),MATCH(orders!I$1,Product!$A$1:$G$1,0))</f>
        <v>Exc</v>
      </c>
      <c r="J195" t="str">
        <f>INDEX(Product!$A$1:$G$49,MATCH(orders!$D195,Product!$A$1:$A$49,0),MATCH(orders!J$1,Product!$A$1:$G$1,0))</f>
        <v>L</v>
      </c>
      <c r="K195" s="4">
        <f>INDEX(Product!$A$1:$G$49,MATCH(orders!$D195,Product!$A$1:$A$49,0),MATCH(orders!K$1,Product!$A$1:$G$1,0))</f>
        <v>1</v>
      </c>
      <c r="L195" s="5">
        <f>INDEX(Product!$A$1:$G$49,MATCH(orders!$D195,Product!$A$1:$A$49,0),MATCH(orders!L$1,Product!$A$1:$G$1,0))</f>
        <v>14.85</v>
      </c>
      <c r="M195" s="5">
        <f t="shared" si="3"/>
        <v>44.55</v>
      </c>
      <c r="N195" t="str" cm="1">
        <f t="array" ref="N195">_xlfn.IFS(I195="Rob", "Robusta", I195="Exc", "Excelsa", I195="Ara", "Arabica", I195="Lib", "Liberica", TRUE, "")</f>
        <v>Excelsa</v>
      </c>
      <c r="O195" t="str" cm="1">
        <f t="array" ref="O195">_xlfn.IFS(J195="M", "Medium", J195="L", "Light", J195="D", "Dark", TRUE, "")</f>
        <v>Light</v>
      </c>
      <c r="P195" t="str">
        <f>_xlfn.XLOOKUP(Table1[[#This Row],[Customer ID]], customers!$A$1:$A$1001, customers!$I$1:$I$1001,, 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INDEX(Product!$A$1:$G$49,MATCH(orders!$D196,Product!$A$1:$A$49,0),MATCH(orders!I$1,Product!$A$1:$G$1,0))</f>
        <v>Exc</v>
      </c>
      <c r="J196" t="str">
        <f>INDEX(Product!$A$1:$G$49,MATCH(orders!$D196,Product!$A$1:$A$49,0),MATCH(orders!J$1,Product!$A$1:$G$1,0))</f>
        <v>D</v>
      </c>
      <c r="K196" s="4">
        <f>INDEX(Product!$A$1:$G$49,MATCH(orders!$D196,Product!$A$1:$A$49,0),MATCH(orders!K$1,Product!$A$1:$G$1,0))</f>
        <v>0.5</v>
      </c>
      <c r="L196" s="5">
        <f>INDEX(Product!$A$1:$G$49,MATCH(orders!$D196,Product!$A$1:$A$49,0),MATCH(orders!L$1,Product!$A$1:$G$1,0))</f>
        <v>7.29</v>
      </c>
      <c r="M196" s="5">
        <f t="shared" si="3"/>
        <v>36.450000000000003</v>
      </c>
      <c r="N196" t="str" cm="1">
        <f t="array" ref="N196">_xlfn.IFS(I196="Rob", "Robusta", I196="Exc", "Excelsa", I196="Ara", "Arabica", I196="Lib", "Liberica", TRUE, "")</f>
        <v>Excelsa</v>
      </c>
      <c r="O196" t="str" cm="1">
        <f t="array" ref="O196">_xlfn.IFS(J196="M", "Medium", J196="L", "Light", J196="D", "Dark", TRUE, "")</f>
        <v>Dark</v>
      </c>
      <c r="P196" t="str">
        <f>_xlfn.XLOOKUP(Table1[[#This Row],[Customer ID]], customers!$A$1:$A$1001, customers!$I$1:$I$1001,, 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INDEX(Product!$A$1:$G$49,MATCH(orders!$D197,Product!$A$1:$A$49,0),MATCH(orders!I$1,Product!$A$1:$G$1,0))</f>
        <v>Ara</v>
      </c>
      <c r="J197" t="str">
        <f>INDEX(Product!$A$1:$G$49,MATCH(orders!$D197,Product!$A$1:$A$49,0),MATCH(orders!J$1,Product!$A$1:$G$1,0))</f>
        <v>L</v>
      </c>
      <c r="K197" s="4">
        <f>INDEX(Product!$A$1:$G$49,MATCH(orders!$D197,Product!$A$1:$A$49,0),MATCH(orders!K$1,Product!$A$1:$G$1,0))</f>
        <v>1</v>
      </c>
      <c r="L197" s="5">
        <f>INDEX(Product!$A$1:$G$49,MATCH(orders!$D197,Product!$A$1:$A$49,0),MATCH(orders!L$1,Product!$A$1:$G$1,0))</f>
        <v>12.95</v>
      </c>
      <c r="M197" s="5">
        <f t="shared" si="3"/>
        <v>38.849999999999994</v>
      </c>
      <c r="N197" t="str" cm="1">
        <f t="array" ref="N197">_xlfn.IFS(I197="Rob", "Robusta", I197="Exc", "Excelsa", I197="Ara", "Arabica", I197="Lib", "Liberica", TRUE, "")</f>
        <v>Arabica</v>
      </c>
      <c r="O197" t="str" cm="1">
        <f t="array" ref="O197">_xlfn.IFS(J197="M", "Medium", J197="L", "Light", J197="D", "Dark", TRUE, "")</f>
        <v>Light</v>
      </c>
      <c r="P197" t="str">
        <f>_xlfn.XLOOKUP(Table1[[#This Row],[Customer ID]], customers!$A$1:$A$1001, customers!$I$1:$I$1001,, 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INDEX(Product!$A$1:$G$49,MATCH(orders!$D198,Product!$A$1:$A$49,0),MATCH(orders!I$1,Product!$A$1:$G$1,0))</f>
        <v>Exc</v>
      </c>
      <c r="J198" t="str">
        <f>INDEX(Product!$A$1:$G$49,MATCH(orders!$D198,Product!$A$1:$A$49,0),MATCH(orders!J$1,Product!$A$1:$G$1,0))</f>
        <v>L</v>
      </c>
      <c r="K198" s="4">
        <f>INDEX(Product!$A$1:$G$49,MATCH(orders!$D198,Product!$A$1:$A$49,0),MATCH(orders!K$1,Product!$A$1:$G$1,0))</f>
        <v>0.5</v>
      </c>
      <c r="L198" s="5">
        <f>INDEX(Product!$A$1:$G$49,MATCH(orders!$D198,Product!$A$1:$A$49,0),MATCH(orders!L$1,Product!$A$1:$G$1,0))</f>
        <v>8.91</v>
      </c>
      <c r="M198" s="5">
        <f t="shared" si="3"/>
        <v>53.46</v>
      </c>
      <c r="N198" t="str" cm="1">
        <f t="array" ref="N198">_xlfn.IFS(I198="Rob", "Robusta", I198="Exc", "Excelsa", I198="Ara", "Arabica", I198="Lib", "Liberica", TRUE, "")</f>
        <v>Excelsa</v>
      </c>
      <c r="O198" t="str" cm="1">
        <f t="array" ref="O198">_xlfn.IFS(J198="M", "Medium", J198="L", "Light", J198="D", "Dark", TRUE, "")</f>
        <v>Light</v>
      </c>
      <c r="P198" t="str">
        <f>_xlfn.XLOOKUP(Table1[[#This Row],[Customer ID]], customers!$A$1:$A$1001, customers!$I$1:$I$1001,, 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INDEX(Product!$A$1:$G$49,MATCH(orders!$D199,Product!$A$1:$A$49,0),MATCH(orders!I$1,Product!$A$1:$G$1,0))</f>
        <v>Lib</v>
      </c>
      <c r="J199" t="str">
        <f>INDEX(Product!$A$1:$G$49,MATCH(orders!$D199,Product!$A$1:$A$49,0),MATCH(orders!J$1,Product!$A$1:$G$1,0))</f>
        <v>D</v>
      </c>
      <c r="K199" s="4">
        <f>INDEX(Product!$A$1:$G$49,MATCH(orders!$D199,Product!$A$1:$A$49,0),MATCH(orders!K$1,Product!$A$1:$G$1,0))</f>
        <v>2.5</v>
      </c>
      <c r="L199" s="5">
        <f>INDEX(Product!$A$1:$G$49,MATCH(orders!$D199,Product!$A$1:$A$49,0),MATCH(orders!L$1,Product!$A$1:$G$1,0))</f>
        <v>29.784999999999997</v>
      </c>
      <c r="M199" s="5">
        <f t="shared" si="3"/>
        <v>59.569999999999993</v>
      </c>
      <c r="N199" t="str" cm="1">
        <f t="array" ref="N199">_xlfn.IFS(I199="Rob", "Robusta", I199="Exc", "Excelsa", I199="Ara", "Arabica", I199="Lib", "Liberica", TRUE, "")</f>
        <v>Liberica</v>
      </c>
      <c r="O199" t="str" cm="1">
        <f t="array" ref="O199">_xlfn.IFS(J199="M", "Medium", J199="L", "Light", J199="D", "Dark", TRUE, "")</f>
        <v>Dark</v>
      </c>
      <c r="P199" t="str">
        <f>_xlfn.XLOOKUP(Table1[[#This Row],[Customer ID]], customers!$A$1:$A$1001, customers!$I$1:$I$1001,, 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INDEX(Product!$A$1:$G$49,MATCH(orders!$D200,Product!$A$1:$A$49,0),MATCH(orders!I$1,Product!$A$1:$G$1,0))</f>
        <v>Lib</v>
      </c>
      <c r="J200" t="str">
        <f>INDEX(Product!$A$1:$G$49,MATCH(orders!$D200,Product!$A$1:$A$49,0),MATCH(orders!J$1,Product!$A$1:$G$1,0))</f>
        <v>D</v>
      </c>
      <c r="K200" s="4">
        <f>INDEX(Product!$A$1:$G$49,MATCH(orders!$D200,Product!$A$1:$A$49,0),MATCH(orders!K$1,Product!$A$1:$G$1,0))</f>
        <v>2.5</v>
      </c>
      <c r="L200" s="5">
        <f>INDEX(Product!$A$1:$G$49,MATCH(orders!$D200,Product!$A$1:$A$49,0),MATCH(orders!L$1,Product!$A$1:$G$1,0))</f>
        <v>29.784999999999997</v>
      </c>
      <c r="M200" s="5">
        <f t="shared" si="3"/>
        <v>89.35499999999999</v>
      </c>
      <c r="N200" t="str" cm="1">
        <f t="array" ref="N200">_xlfn.IFS(I200="Rob", "Robusta", I200="Exc", "Excelsa", I200="Ara", "Arabica", I200="Lib", "Liberica", TRUE, "")</f>
        <v>Liberica</v>
      </c>
      <c r="O200" t="str" cm="1">
        <f t="array" ref="O200">_xlfn.IFS(J200="M", "Medium", J200="L", "Light", J200="D", "Dark", TRUE, "")</f>
        <v>Dark</v>
      </c>
      <c r="P200" t="str">
        <f>_xlfn.XLOOKUP(Table1[[#This Row],[Customer ID]], customers!$A$1:$A$1001, customers!$I$1:$I$1001,, 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INDEX(Product!$A$1:$G$49,MATCH(orders!$D201,Product!$A$1:$A$49,0),MATCH(orders!I$1,Product!$A$1:$G$1,0))</f>
        <v>Lib</v>
      </c>
      <c r="J201" t="str">
        <f>INDEX(Product!$A$1:$G$49,MATCH(orders!$D201,Product!$A$1:$A$49,0),MATCH(orders!J$1,Product!$A$1:$G$1,0))</f>
        <v>L</v>
      </c>
      <c r="K201" s="4">
        <f>INDEX(Product!$A$1:$G$49,MATCH(orders!$D201,Product!$A$1:$A$49,0),MATCH(orders!K$1,Product!$A$1:$G$1,0))</f>
        <v>0.5</v>
      </c>
      <c r="L201" s="5">
        <f>INDEX(Product!$A$1:$G$49,MATCH(orders!$D201,Product!$A$1:$A$49,0),MATCH(orders!L$1,Product!$A$1:$G$1,0))</f>
        <v>9.51</v>
      </c>
      <c r="M201" s="5">
        <f t="shared" si="3"/>
        <v>38.04</v>
      </c>
      <c r="N201" t="str" cm="1">
        <f t="array" ref="N201">_xlfn.IFS(I201="Rob", "Robusta", I201="Exc", "Excelsa", I201="Ara", "Arabica", I201="Lib", "Liberica", TRUE, "")</f>
        <v>Liberica</v>
      </c>
      <c r="O201" t="str" cm="1">
        <f t="array" ref="O201">_xlfn.IFS(J201="M", "Medium", J201="L", "Light", J201="D", "Dark", TRUE, "")</f>
        <v>Light</v>
      </c>
      <c r="P201" t="str">
        <f>_xlfn.XLOOKUP(Table1[[#This Row],[Customer ID]], customers!$A$1:$A$1001, customers!$I$1:$I$1001,, 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INDEX(Product!$A$1:$G$49,MATCH(orders!$D202,Product!$A$1:$A$49,0),MATCH(orders!I$1,Product!$A$1:$G$1,0))</f>
        <v>Exc</v>
      </c>
      <c r="J202" t="str">
        <f>INDEX(Product!$A$1:$G$49,MATCH(orders!$D202,Product!$A$1:$A$49,0),MATCH(orders!J$1,Product!$A$1:$G$1,0))</f>
        <v>M</v>
      </c>
      <c r="K202" s="4">
        <f>INDEX(Product!$A$1:$G$49,MATCH(orders!$D202,Product!$A$1:$A$49,0),MATCH(orders!K$1,Product!$A$1:$G$1,0))</f>
        <v>1</v>
      </c>
      <c r="L202" s="5">
        <f>INDEX(Product!$A$1:$G$49,MATCH(orders!$D202,Product!$A$1:$A$49,0),MATCH(orders!L$1,Product!$A$1:$G$1,0))</f>
        <v>13.75</v>
      </c>
      <c r="M202" s="5">
        <f t="shared" si="3"/>
        <v>41.25</v>
      </c>
      <c r="N202" t="str" cm="1">
        <f t="array" ref="N202">_xlfn.IFS(I202="Rob", "Robusta", I202="Exc", "Excelsa", I202="Ara", "Arabica", I202="Lib", "Liberica", TRUE, "")</f>
        <v>Excelsa</v>
      </c>
      <c r="O202" t="str" cm="1">
        <f t="array" ref="O202">_xlfn.IFS(J202="M", "Medium", J202="L", "Light", J202="D", "Dark", TRUE, "")</f>
        <v>Medium</v>
      </c>
      <c r="P202" t="str">
        <f>_xlfn.XLOOKUP(Table1[[#This Row],[Customer ID]], customers!$A$1:$A$1001, customers!$I$1:$I$1001,, 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INDEX(Product!$A$1:$G$49,MATCH(orders!$D203,Product!$A$1:$A$49,0),MATCH(orders!I$1,Product!$A$1:$G$1,0))</f>
        <v>Lib</v>
      </c>
      <c r="J203" t="str">
        <f>INDEX(Product!$A$1:$G$49,MATCH(orders!$D203,Product!$A$1:$A$49,0),MATCH(orders!J$1,Product!$A$1:$G$1,0))</f>
        <v>L</v>
      </c>
      <c r="K203" s="4">
        <f>INDEX(Product!$A$1:$G$49,MATCH(orders!$D203,Product!$A$1:$A$49,0),MATCH(orders!K$1,Product!$A$1:$G$1,0))</f>
        <v>0.5</v>
      </c>
      <c r="L203" s="5">
        <f>INDEX(Product!$A$1:$G$49,MATCH(orders!$D203,Product!$A$1:$A$49,0),MATCH(orders!L$1,Product!$A$1:$G$1,0))</f>
        <v>9.51</v>
      </c>
      <c r="M203" s="5">
        <f t="shared" si="3"/>
        <v>57.06</v>
      </c>
      <c r="N203" t="str" cm="1">
        <f t="array" ref="N203">_xlfn.IFS(I203="Rob", "Robusta", I203="Exc", "Excelsa", I203="Ara", "Arabica", I203="Lib", "Liberica", TRUE, "")</f>
        <v>Liberica</v>
      </c>
      <c r="O203" t="str" cm="1">
        <f t="array" ref="O203">_xlfn.IFS(J203="M", "Medium", J203="L", "Light", J203="D", "Dark", TRUE, "")</f>
        <v>Light</v>
      </c>
      <c r="P203" t="str">
        <f>_xlfn.XLOOKUP(Table1[[#This Row],[Customer ID]], customers!$A$1:$A$1001, customers!$I$1:$I$1001,, 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INDEX(Product!$A$1:$G$49,MATCH(orders!$D204,Product!$A$1:$A$49,0),MATCH(orders!I$1,Product!$A$1:$G$1,0))</f>
        <v>Lib</v>
      </c>
      <c r="J204" t="str">
        <f>INDEX(Product!$A$1:$G$49,MATCH(orders!$D204,Product!$A$1:$A$49,0),MATCH(orders!J$1,Product!$A$1:$G$1,0))</f>
        <v>D</v>
      </c>
      <c r="K204" s="4">
        <f>INDEX(Product!$A$1:$G$49,MATCH(orders!$D204,Product!$A$1:$A$49,0),MATCH(orders!K$1,Product!$A$1:$G$1,0))</f>
        <v>2.5</v>
      </c>
      <c r="L204" s="5">
        <f>INDEX(Product!$A$1:$G$49,MATCH(orders!$D204,Product!$A$1:$A$49,0),MATCH(orders!L$1,Product!$A$1:$G$1,0))</f>
        <v>29.784999999999997</v>
      </c>
      <c r="M204" s="5">
        <f t="shared" si="3"/>
        <v>178.70999999999998</v>
      </c>
      <c r="N204" t="str" cm="1">
        <f t="array" ref="N204">_xlfn.IFS(I204="Rob", "Robusta", I204="Exc", "Excelsa", I204="Ara", "Arabica", I204="Lib", "Liberica", TRUE, "")</f>
        <v>Liberica</v>
      </c>
      <c r="O204" t="str" cm="1">
        <f t="array" ref="O204">_xlfn.IFS(J204="M", "Medium", J204="L", "Light", J204="D", "Dark", TRUE, "")</f>
        <v>Dark</v>
      </c>
      <c r="P204" t="str">
        <f>_xlfn.XLOOKUP(Table1[[#This Row],[Customer ID]], customers!$A$1:$A$1001, customers!$I$1:$I$1001,, 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INDEX(Product!$A$1:$G$49,MATCH(orders!$D205,Product!$A$1:$A$49,0),MATCH(orders!I$1,Product!$A$1:$G$1,0))</f>
        <v>Lib</v>
      </c>
      <c r="J205" t="str">
        <f>INDEX(Product!$A$1:$G$49,MATCH(orders!$D205,Product!$A$1:$A$49,0),MATCH(orders!J$1,Product!$A$1:$G$1,0))</f>
        <v>L</v>
      </c>
      <c r="K205" s="4">
        <f>INDEX(Product!$A$1:$G$49,MATCH(orders!$D205,Product!$A$1:$A$49,0),MATCH(orders!K$1,Product!$A$1:$G$1,0))</f>
        <v>0.2</v>
      </c>
      <c r="L205" s="5">
        <f>INDEX(Product!$A$1:$G$49,MATCH(orders!$D205,Product!$A$1:$A$49,0),MATCH(orders!L$1,Product!$A$1:$G$1,0))</f>
        <v>4.7549999999999999</v>
      </c>
      <c r="M205" s="5">
        <f t="shared" si="3"/>
        <v>4.7549999999999999</v>
      </c>
      <c r="N205" t="str" cm="1">
        <f t="array" ref="N205">_xlfn.IFS(I205="Rob", "Robusta", I205="Exc", "Excelsa", I205="Ara", "Arabica", I205="Lib", "Liberica", TRUE, "")</f>
        <v>Liberica</v>
      </c>
      <c r="O205" t="str" cm="1">
        <f t="array" ref="O205">_xlfn.IFS(J205="M", "Medium", J205="L", "Light", J205="D", "Dark", TRUE, "")</f>
        <v>Light</v>
      </c>
      <c r="P205" t="str">
        <f>_xlfn.XLOOKUP(Table1[[#This Row],[Customer ID]], customers!$A$1:$A$1001, customers!$I$1:$I$1001,, 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INDEX(Product!$A$1:$G$49,MATCH(orders!$D206,Product!$A$1:$A$49,0),MATCH(orders!I$1,Product!$A$1:$G$1,0))</f>
        <v>Exc</v>
      </c>
      <c r="J206" t="str">
        <f>INDEX(Product!$A$1:$G$49,MATCH(orders!$D206,Product!$A$1:$A$49,0),MATCH(orders!J$1,Product!$A$1:$G$1,0))</f>
        <v>M</v>
      </c>
      <c r="K206" s="4">
        <f>INDEX(Product!$A$1:$G$49,MATCH(orders!$D206,Product!$A$1:$A$49,0),MATCH(orders!K$1,Product!$A$1:$G$1,0))</f>
        <v>1</v>
      </c>
      <c r="L206" s="5">
        <f>INDEX(Product!$A$1:$G$49,MATCH(orders!$D206,Product!$A$1:$A$49,0),MATCH(orders!L$1,Product!$A$1:$G$1,0))</f>
        <v>13.75</v>
      </c>
      <c r="M206" s="5">
        <f t="shared" si="3"/>
        <v>82.5</v>
      </c>
      <c r="N206" t="str" cm="1">
        <f t="array" ref="N206">_xlfn.IFS(I206="Rob", "Robusta", I206="Exc", "Excelsa", I206="Ara", "Arabica", I206="Lib", "Liberica", TRUE, "")</f>
        <v>Excelsa</v>
      </c>
      <c r="O206" t="str" cm="1">
        <f t="array" ref="O206">_xlfn.IFS(J206="M", "Medium", J206="L", "Light", J206="D", "Dark", TRUE, "")</f>
        <v>Medium</v>
      </c>
      <c r="P206" t="str">
        <f>_xlfn.XLOOKUP(Table1[[#This Row],[Customer ID]], customers!$A$1:$A$1001, customers!$I$1:$I$1001,, 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INDEX(Product!$A$1:$G$49,MATCH(orders!$D207,Product!$A$1:$A$49,0),MATCH(orders!I$1,Product!$A$1:$G$1,0))</f>
        <v>Rob</v>
      </c>
      <c r="J207" t="str">
        <f>INDEX(Product!$A$1:$G$49,MATCH(orders!$D207,Product!$A$1:$A$49,0),MATCH(orders!J$1,Product!$A$1:$G$1,0))</f>
        <v>D</v>
      </c>
      <c r="K207" s="4">
        <f>INDEX(Product!$A$1:$G$49,MATCH(orders!$D207,Product!$A$1:$A$49,0),MATCH(orders!K$1,Product!$A$1:$G$1,0))</f>
        <v>0.2</v>
      </c>
      <c r="L207" s="5">
        <f>INDEX(Product!$A$1:$G$49,MATCH(orders!$D207,Product!$A$1:$A$49,0),MATCH(orders!L$1,Product!$A$1:$G$1,0))</f>
        <v>2.6849999999999996</v>
      </c>
      <c r="M207" s="5">
        <f t="shared" si="3"/>
        <v>8.0549999999999997</v>
      </c>
      <c r="N207" t="str" cm="1">
        <f t="array" ref="N207">_xlfn.IFS(I207="Rob", "Robusta", I207="Exc", "Excelsa", I207="Ara", "Arabica", I207="Lib", "Liberica", TRUE, "")</f>
        <v>Robusta</v>
      </c>
      <c r="O207" t="str" cm="1">
        <f t="array" ref="O207">_xlfn.IFS(J207="M", "Medium", J207="L", "Light", J207="D", "Dark", TRUE, "")</f>
        <v>Dark</v>
      </c>
      <c r="P207" t="str">
        <f>_xlfn.XLOOKUP(Table1[[#This Row],[Customer ID]], customers!$A$1:$A$1001, customers!$I$1:$I$1001,, 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INDEX(Product!$A$1:$G$49,MATCH(orders!$D208,Product!$A$1:$A$49,0),MATCH(orders!I$1,Product!$A$1:$G$1,0))</f>
        <v>Ara</v>
      </c>
      <c r="J208" t="str">
        <f>INDEX(Product!$A$1:$G$49,MATCH(orders!$D208,Product!$A$1:$A$49,0),MATCH(orders!J$1,Product!$A$1:$G$1,0))</f>
        <v>M</v>
      </c>
      <c r="K208" s="4">
        <f>INDEX(Product!$A$1:$G$49,MATCH(orders!$D208,Product!$A$1:$A$49,0),MATCH(orders!K$1,Product!$A$1:$G$1,0))</f>
        <v>1</v>
      </c>
      <c r="L208" s="5">
        <f>INDEX(Product!$A$1:$G$49,MATCH(orders!$D208,Product!$A$1:$A$49,0),MATCH(orders!L$1,Product!$A$1:$G$1,0))</f>
        <v>11.25</v>
      </c>
      <c r="M208" s="5">
        <f t="shared" si="3"/>
        <v>22.5</v>
      </c>
      <c r="N208" t="str" cm="1">
        <f t="array" ref="N208">_xlfn.IFS(I208="Rob", "Robusta", I208="Exc", "Excelsa", I208="Ara", "Arabica", I208="Lib", "Liberica", TRUE, "")</f>
        <v>Arabica</v>
      </c>
      <c r="O208" t="str" cm="1">
        <f t="array" ref="O208">_xlfn.IFS(J208="M", "Medium", J208="L", "Light", J208="D", "Dark", TRUE, "")</f>
        <v>Medium</v>
      </c>
      <c r="P208" t="str">
        <f>_xlfn.XLOOKUP(Table1[[#This Row],[Customer ID]], customers!$A$1:$A$1001, customers!$I$1:$I$1001,, 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INDEX(Product!$A$1:$G$49,MATCH(orders!$D209,Product!$A$1:$A$49,0),MATCH(orders!I$1,Product!$A$1:$G$1,0))</f>
        <v>Ara</v>
      </c>
      <c r="J209" t="str">
        <f>INDEX(Product!$A$1:$G$49,MATCH(orders!$D209,Product!$A$1:$A$49,0),MATCH(orders!J$1,Product!$A$1:$G$1,0))</f>
        <v>M</v>
      </c>
      <c r="K209" s="4">
        <f>INDEX(Product!$A$1:$G$49,MATCH(orders!$D209,Product!$A$1:$A$49,0),MATCH(orders!K$1,Product!$A$1:$G$1,0))</f>
        <v>0.5</v>
      </c>
      <c r="L209" s="5">
        <f>INDEX(Product!$A$1:$G$49,MATCH(orders!$D209,Product!$A$1:$A$49,0),MATCH(orders!L$1,Product!$A$1:$G$1,0))</f>
        <v>6.75</v>
      </c>
      <c r="M209" s="5">
        <f t="shared" si="3"/>
        <v>40.5</v>
      </c>
      <c r="N209" t="str" cm="1">
        <f t="array" ref="N209">_xlfn.IFS(I209="Rob", "Robusta", I209="Exc", "Excelsa", I209="Ara", "Arabica", I209="Lib", "Liberica", TRUE, "")</f>
        <v>Arabica</v>
      </c>
      <c r="O209" t="str" cm="1">
        <f t="array" ref="O209">_xlfn.IFS(J209="M", "Medium", J209="L", "Light", J209="D", "Dark", TRUE, "")</f>
        <v>Medium</v>
      </c>
      <c r="P209" t="str">
        <f>_xlfn.XLOOKUP(Table1[[#This Row],[Customer ID]], customers!$A$1:$A$1001, customers!$I$1:$I$1001,, 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INDEX(Product!$A$1:$G$49,MATCH(orders!$D210,Product!$A$1:$A$49,0),MATCH(orders!I$1,Product!$A$1:$G$1,0))</f>
        <v>Exc</v>
      </c>
      <c r="J210" t="str">
        <f>INDEX(Product!$A$1:$G$49,MATCH(orders!$D210,Product!$A$1:$A$49,0),MATCH(orders!J$1,Product!$A$1:$G$1,0))</f>
        <v>D</v>
      </c>
      <c r="K210" s="4">
        <f>INDEX(Product!$A$1:$G$49,MATCH(orders!$D210,Product!$A$1:$A$49,0),MATCH(orders!K$1,Product!$A$1:$G$1,0))</f>
        <v>0.5</v>
      </c>
      <c r="L210" s="5">
        <f>INDEX(Product!$A$1:$G$49,MATCH(orders!$D210,Product!$A$1:$A$49,0),MATCH(orders!L$1,Product!$A$1:$G$1,0))</f>
        <v>7.29</v>
      </c>
      <c r="M210" s="5">
        <f t="shared" si="3"/>
        <v>29.16</v>
      </c>
      <c r="N210" t="str" cm="1">
        <f t="array" ref="N210">_xlfn.IFS(I210="Rob", "Robusta", I210="Exc", "Excelsa", I210="Ara", "Arabica", I210="Lib", "Liberica", TRUE, "")</f>
        <v>Excelsa</v>
      </c>
      <c r="O210" t="str" cm="1">
        <f t="array" ref="O210">_xlfn.IFS(J210="M", "Medium", J210="L", "Light", J210="D", "Dark", TRUE, "")</f>
        <v>Dark</v>
      </c>
      <c r="P210" t="str">
        <f>_xlfn.XLOOKUP(Table1[[#This Row],[Customer ID]], customers!$A$1:$A$1001, customers!$I$1:$I$1001,, 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INDEX(Product!$A$1:$G$49,MATCH(orders!$D211,Product!$A$1:$A$49,0),MATCH(orders!I$1,Product!$A$1:$G$1,0))</f>
        <v>Ara</v>
      </c>
      <c r="J211" t="str">
        <f>INDEX(Product!$A$1:$G$49,MATCH(orders!$D211,Product!$A$1:$A$49,0),MATCH(orders!J$1,Product!$A$1:$G$1,0))</f>
        <v>M</v>
      </c>
      <c r="K211" s="4">
        <f>INDEX(Product!$A$1:$G$49,MATCH(orders!$D211,Product!$A$1:$A$49,0),MATCH(orders!K$1,Product!$A$1:$G$1,0))</f>
        <v>0.5</v>
      </c>
      <c r="L211" s="5">
        <f>INDEX(Product!$A$1:$G$49,MATCH(orders!$D211,Product!$A$1:$A$49,0),MATCH(orders!L$1,Product!$A$1:$G$1,0))</f>
        <v>6.75</v>
      </c>
      <c r="M211" s="5">
        <f t="shared" si="3"/>
        <v>6.75</v>
      </c>
      <c r="N211" t="str" cm="1">
        <f t="array" ref="N211">_xlfn.IFS(I211="Rob", "Robusta", I211="Exc", "Excelsa", I211="Ara", "Arabica", I211="Lib", "Liberica", TRUE, "")</f>
        <v>Arabica</v>
      </c>
      <c r="O211" t="str" cm="1">
        <f t="array" ref="O211">_xlfn.IFS(J211="M", "Medium", J211="L", "Light", J211="D", "Dark", TRUE, "")</f>
        <v>Medium</v>
      </c>
      <c r="P211" t="str">
        <f>_xlfn.XLOOKUP(Table1[[#This Row],[Customer ID]], customers!$A$1:$A$1001, customers!$I$1:$I$1001,, 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INDEX(Product!$A$1:$G$49,MATCH(orders!$D212,Product!$A$1:$A$49,0),MATCH(orders!I$1,Product!$A$1:$G$1,0))</f>
        <v>Lib</v>
      </c>
      <c r="J212" t="str">
        <f>INDEX(Product!$A$1:$G$49,MATCH(orders!$D212,Product!$A$1:$A$49,0),MATCH(orders!J$1,Product!$A$1:$G$1,0))</f>
        <v>D</v>
      </c>
      <c r="K212" s="4">
        <f>INDEX(Product!$A$1:$G$49,MATCH(orders!$D212,Product!$A$1:$A$49,0),MATCH(orders!K$1,Product!$A$1:$G$1,0))</f>
        <v>1</v>
      </c>
      <c r="L212" s="5">
        <f>INDEX(Product!$A$1:$G$49,MATCH(orders!$D212,Product!$A$1:$A$49,0),MATCH(orders!L$1,Product!$A$1:$G$1,0))</f>
        <v>12.95</v>
      </c>
      <c r="M212" s="5">
        <f t="shared" si="3"/>
        <v>51.8</v>
      </c>
      <c r="N212" t="str" cm="1">
        <f t="array" ref="N212">_xlfn.IFS(I212="Rob", "Robusta", I212="Exc", "Excelsa", I212="Ara", "Arabica", I212="Lib", "Liberica", TRUE, "")</f>
        <v>Liberica</v>
      </c>
      <c r="O212" t="str" cm="1">
        <f t="array" ref="O212">_xlfn.IFS(J212="M", "Medium", J212="L", "Light", J212="D", "Dark", TRUE, "")</f>
        <v>Dark</v>
      </c>
      <c r="P212" t="str">
        <f>_xlfn.XLOOKUP(Table1[[#This Row],[Customer ID]], customers!$A$1:$A$1001, customers!$I$1:$I$1001,, 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INDEX(Product!$A$1:$G$49,MATCH(orders!$D213,Product!$A$1:$A$49,0),MATCH(orders!I$1,Product!$A$1:$G$1,0))</f>
        <v>Exc</v>
      </c>
      <c r="J213" t="str">
        <f>INDEX(Product!$A$1:$G$49,MATCH(orders!$D213,Product!$A$1:$A$49,0),MATCH(orders!J$1,Product!$A$1:$G$1,0))</f>
        <v>L</v>
      </c>
      <c r="K213" s="4">
        <f>INDEX(Product!$A$1:$G$49,MATCH(orders!$D213,Product!$A$1:$A$49,0),MATCH(orders!K$1,Product!$A$1:$G$1,0))</f>
        <v>0.5</v>
      </c>
      <c r="L213" s="5">
        <f>INDEX(Product!$A$1:$G$49,MATCH(orders!$D213,Product!$A$1:$A$49,0),MATCH(orders!L$1,Product!$A$1:$G$1,0))</f>
        <v>8.91</v>
      </c>
      <c r="M213" s="5">
        <f t="shared" si="3"/>
        <v>53.46</v>
      </c>
      <c r="N213" t="str" cm="1">
        <f t="array" ref="N213">_xlfn.IFS(I213="Rob", "Robusta", I213="Exc", "Excelsa", I213="Ara", "Arabica", I213="Lib", "Liberica", TRUE, "")</f>
        <v>Excelsa</v>
      </c>
      <c r="O213" t="str" cm="1">
        <f t="array" ref="O213">_xlfn.IFS(J213="M", "Medium", J213="L", "Light", J213="D", "Dark", TRUE, "")</f>
        <v>Light</v>
      </c>
      <c r="P213" t="str">
        <f>_xlfn.XLOOKUP(Table1[[#This Row],[Customer ID]], customers!$A$1:$A$1001, customers!$I$1:$I$1001,, 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INDEX(Product!$A$1:$G$49,MATCH(orders!$D214,Product!$A$1:$A$49,0),MATCH(orders!I$1,Product!$A$1:$G$1,0))</f>
        <v>Exc</v>
      </c>
      <c r="J214" t="str">
        <f>INDEX(Product!$A$1:$G$49,MATCH(orders!$D214,Product!$A$1:$A$49,0),MATCH(orders!J$1,Product!$A$1:$G$1,0))</f>
        <v>D</v>
      </c>
      <c r="K214" s="4">
        <f>INDEX(Product!$A$1:$G$49,MATCH(orders!$D214,Product!$A$1:$A$49,0),MATCH(orders!K$1,Product!$A$1:$G$1,0))</f>
        <v>0.2</v>
      </c>
      <c r="L214" s="5">
        <f>INDEX(Product!$A$1:$G$49,MATCH(orders!$D214,Product!$A$1:$A$49,0),MATCH(orders!L$1,Product!$A$1:$G$1,0))</f>
        <v>3.645</v>
      </c>
      <c r="M214" s="5">
        <f t="shared" si="3"/>
        <v>14.58</v>
      </c>
      <c r="N214" t="str" cm="1">
        <f t="array" ref="N214">_xlfn.IFS(I214="Rob", "Robusta", I214="Exc", "Excelsa", I214="Ara", "Arabica", I214="Lib", "Liberica", TRUE, "")</f>
        <v>Excelsa</v>
      </c>
      <c r="O214" t="str" cm="1">
        <f t="array" ref="O214">_xlfn.IFS(J214="M", "Medium", J214="L", "Light", J214="D", "Dark", TRUE, "")</f>
        <v>Dark</v>
      </c>
      <c r="P214" t="str">
        <f>_xlfn.XLOOKUP(Table1[[#This Row],[Customer ID]], customers!$A$1:$A$1001, customers!$I$1:$I$1001,, 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INDEX(Product!$A$1:$G$49,MATCH(orders!$D215,Product!$A$1:$A$49,0),MATCH(orders!I$1,Product!$A$1:$G$1,0))</f>
        <v>Rob</v>
      </c>
      <c r="J215" t="str">
        <f>INDEX(Product!$A$1:$G$49,MATCH(orders!$D215,Product!$A$1:$A$49,0),MATCH(orders!J$1,Product!$A$1:$G$1,0))</f>
        <v>D</v>
      </c>
      <c r="K215" s="4">
        <f>INDEX(Product!$A$1:$G$49,MATCH(orders!$D215,Product!$A$1:$A$49,0),MATCH(orders!K$1,Product!$A$1:$G$1,0))</f>
        <v>2.5</v>
      </c>
      <c r="L215" s="5">
        <f>INDEX(Product!$A$1:$G$49,MATCH(orders!$D215,Product!$A$1:$A$49,0),MATCH(orders!L$1,Product!$A$1:$G$1,0))</f>
        <v>20.584999999999997</v>
      </c>
      <c r="M215" s="5">
        <f t="shared" si="3"/>
        <v>20.584999999999997</v>
      </c>
      <c r="N215" t="str" cm="1">
        <f t="array" ref="N215">_xlfn.IFS(I215="Rob", "Robusta", I215="Exc", "Excelsa", I215="Ara", "Arabica", I215="Lib", "Liberica", TRUE, "")</f>
        <v>Robusta</v>
      </c>
      <c r="O215" t="str" cm="1">
        <f t="array" ref="O215">_xlfn.IFS(J215="M", "Medium", J215="L", "Light", J215="D", "Dark", TRUE, "")</f>
        <v>Dark</v>
      </c>
      <c r="P215" t="str">
        <f>_xlfn.XLOOKUP(Table1[[#This Row],[Customer ID]], customers!$A$1:$A$1001, customers!$I$1:$I$1001,, 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INDEX(Product!$A$1:$G$49,MATCH(orders!$D216,Product!$A$1:$A$49,0),MATCH(orders!I$1,Product!$A$1:$G$1,0))</f>
        <v>Lib</v>
      </c>
      <c r="J216" t="str">
        <f>INDEX(Product!$A$1:$G$49,MATCH(orders!$D216,Product!$A$1:$A$49,0),MATCH(orders!J$1,Product!$A$1:$G$1,0))</f>
        <v>L</v>
      </c>
      <c r="K216" s="4">
        <f>INDEX(Product!$A$1:$G$49,MATCH(orders!$D216,Product!$A$1:$A$49,0),MATCH(orders!K$1,Product!$A$1:$G$1,0))</f>
        <v>1</v>
      </c>
      <c r="L216" s="5">
        <f>INDEX(Product!$A$1:$G$49,MATCH(orders!$D216,Product!$A$1:$A$49,0),MATCH(orders!L$1,Product!$A$1:$G$1,0))</f>
        <v>15.85</v>
      </c>
      <c r="M216" s="5">
        <f t="shared" si="3"/>
        <v>31.7</v>
      </c>
      <c r="N216" t="str" cm="1">
        <f t="array" ref="N216">_xlfn.IFS(I216="Rob", "Robusta", I216="Exc", "Excelsa", I216="Ara", "Arabica", I216="Lib", "Liberica", TRUE, "")</f>
        <v>Liberica</v>
      </c>
      <c r="O216" t="str" cm="1">
        <f t="array" ref="O216">_xlfn.IFS(J216="M", "Medium", J216="L", "Light", J216="D", "Dark", TRUE, "")</f>
        <v>Light</v>
      </c>
      <c r="P216" t="str">
        <f>_xlfn.XLOOKUP(Table1[[#This Row],[Customer ID]], customers!$A$1:$A$1001, customers!$I$1:$I$1001,, 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INDEX(Product!$A$1:$G$49,MATCH(orders!$D217,Product!$A$1:$A$49,0),MATCH(orders!I$1,Product!$A$1:$G$1,0))</f>
        <v>Lib</v>
      </c>
      <c r="J217" t="str">
        <f>INDEX(Product!$A$1:$G$49,MATCH(orders!$D217,Product!$A$1:$A$49,0),MATCH(orders!J$1,Product!$A$1:$G$1,0))</f>
        <v>D</v>
      </c>
      <c r="K217" s="4">
        <f>INDEX(Product!$A$1:$G$49,MATCH(orders!$D217,Product!$A$1:$A$49,0),MATCH(orders!K$1,Product!$A$1:$G$1,0))</f>
        <v>0.2</v>
      </c>
      <c r="L217" s="5">
        <f>INDEX(Product!$A$1:$G$49,MATCH(orders!$D217,Product!$A$1:$A$49,0),MATCH(orders!L$1,Product!$A$1:$G$1,0))</f>
        <v>3.8849999999999998</v>
      </c>
      <c r="M217" s="5">
        <f t="shared" si="3"/>
        <v>23.31</v>
      </c>
      <c r="N217" t="str" cm="1">
        <f t="array" ref="N217">_xlfn.IFS(I217="Rob", "Robusta", I217="Exc", "Excelsa", I217="Ara", "Arabica", I217="Lib", "Liberica", TRUE, "")</f>
        <v>Liberica</v>
      </c>
      <c r="O217" t="str" cm="1">
        <f t="array" ref="O217">_xlfn.IFS(J217="M", "Medium", J217="L", "Light", J217="D", "Dark", TRUE, "")</f>
        <v>Dark</v>
      </c>
      <c r="P217" t="str">
        <f>_xlfn.XLOOKUP(Table1[[#This Row],[Customer ID]], customers!$A$1:$A$1001, customers!$I$1:$I$1001,, 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INDEX(Product!$A$1:$G$49,MATCH(orders!$D218,Product!$A$1:$A$49,0),MATCH(orders!I$1,Product!$A$1:$G$1,0))</f>
        <v>Lib</v>
      </c>
      <c r="J218" t="str">
        <f>INDEX(Product!$A$1:$G$49,MATCH(orders!$D218,Product!$A$1:$A$49,0),MATCH(orders!J$1,Product!$A$1:$G$1,0))</f>
        <v>M</v>
      </c>
      <c r="K218" s="4">
        <f>INDEX(Product!$A$1:$G$49,MATCH(orders!$D218,Product!$A$1:$A$49,0),MATCH(orders!K$1,Product!$A$1:$G$1,0))</f>
        <v>1</v>
      </c>
      <c r="L218" s="5">
        <f>INDEX(Product!$A$1:$G$49,MATCH(orders!$D218,Product!$A$1:$A$49,0),MATCH(orders!L$1,Product!$A$1:$G$1,0))</f>
        <v>14.55</v>
      </c>
      <c r="M218" s="5">
        <f t="shared" si="3"/>
        <v>58.2</v>
      </c>
      <c r="N218" t="str" cm="1">
        <f t="array" ref="N218">_xlfn.IFS(I218="Rob", "Robusta", I218="Exc", "Excelsa", I218="Ara", "Arabica", I218="Lib", "Liberica", TRUE, "")</f>
        <v>Liberica</v>
      </c>
      <c r="O218" t="str" cm="1">
        <f t="array" ref="O218">_xlfn.IFS(J218="M", "Medium", J218="L", "Light", J218="D", "Dark", TRUE, "")</f>
        <v>Medium</v>
      </c>
      <c r="P218" t="str">
        <f>_xlfn.XLOOKUP(Table1[[#This Row],[Customer ID]], customers!$A$1:$A$1001, customers!$I$1:$I$1001,, 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INDEX(Product!$A$1:$G$49,MATCH(orders!$D219,Product!$A$1:$A$49,0),MATCH(orders!I$1,Product!$A$1:$G$1,0))</f>
        <v>Exc</v>
      </c>
      <c r="J219" t="str">
        <f>INDEX(Product!$A$1:$G$49,MATCH(orders!$D219,Product!$A$1:$A$49,0),MATCH(orders!J$1,Product!$A$1:$G$1,0))</f>
        <v>L</v>
      </c>
      <c r="K219" s="4">
        <f>INDEX(Product!$A$1:$G$49,MATCH(orders!$D219,Product!$A$1:$A$49,0),MATCH(orders!K$1,Product!$A$1:$G$1,0))</f>
        <v>0.5</v>
      </c>
      <c r="L219" s="5">
        <f>INDEX(Product!$A$1:$G$49,MATCH(orders!$D219,Product!$A$1:$A$49,0),MATCH(orders!L$1,Product!$A$1:$G$1,0))</f>
        <v>8.91</v>
      </c>
      <c r="M219" s="5">
        <f t="shared" si="3"/>
        <v>35.64</v>
      </c>
      <c r="N219" t="str" cm="1">
        <f t="array" ref="N219">_xlfn.IFS(I219="Rob", "Robusta", I219="Exc", "Excelsa", I219="Ara", "Arabica", I219="Lib", "Liberica", TRUE, "")</f>
        <v>Excelsa</v>
      </c>
      <c r="O219" t="str" cm="1">
        <f t="array" ref="O219">_xlfn.IFS(J219="M", "Medium", J219="L", "Light", J219="D", "Dark", TRUE, "")</f>
        <v>Light</v>
      </c>
      <c r="P219" t="str">
        <f>_xlfn.XLOOKUP(Table1[[#This Row],[Customer ID]], customers!$A$1:$A$1001, customers!$I$1:$I$1001,, 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INDEX(Product!$A$1:$G$49,MATCH(orders!$D220,Product!$A$1:$A$49,0),MATCH(orders!I$1,Product!$A$1:$G$1,0))</f>
        <v>Ara</v>
      </c>
      <c r="J220" t="str">
        <f>INDEX(Product!$A$1:$G$49,MATCH(orders!$D220,Product!$A$1:$A$49,0),MATCH(orders!J$1,Product!$A$1:$G$1,0))</f>
        <v>M</v>
      </c>
      <c r="K220" s="4">
        <f>INDEX(Product!$A$1:$G$49,MATCH(orders!$D220,Product!$A$1:$A$49,0),MATCH(orders!K$1,Product!$A$1:$G$1,0))</f>
        <v>1</v>
      </c>
      <c r="L220" s="5">
        <f>INDEX(Product!$A$1:$G$49,MATCH(orders!$D220,Product!$A$1:$A$49,0),MATCH(orders!L$1,Product!$A$1:$G$1,0))</f>
        <v>11.25</v>
      </c>
      <c r="M220" s="5">
        <f t="shared" si="3"/>
        <v>56.25</v>
      </c>
      <c r="N220" t="str" cm="1">
        <f t="array" ref="N220">_xlfn.IFS(I220="Rob", "Robusta", I220="Exc", "Excelsa", I220="Ara", "Arabica", I220="Lib", "Liberica", TRUE, "")</f>
        <v>Arabica</v>
      </c>
      <c r="O220" t="str" cm="1">
        <f t="array" ref="O220">_xlfn.IFS(J220="M", "Medium", J220="L", "Light", J220="D", "Dark", TRUE, "")</f>
        <v>Medium</v>
      </c>
      <c r="P220" t="str">
        <f>_xlfn.XLOOKUP(Table1[[#This Row],[Customer ID]], customers!$A$1:$A$1001, customers!$I$1:$I$1001,, 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INDEX(Product!$A$1:$G$49,MATCH(orders!$D221,Product!$A$1:$A$49,0),MATCH(orders!I$1,Product!$A$1:$G$1,0))</f>
        <v>Rob</v>
      </c>
      <c r="J221" t="str">
        <f>INDEX(Product!$A$1:$G$49,MATCH(orders!$D221,Product!$A$1:$A$49,0),MATCH(orders!J$1,Product!$A$1:$G$1,0))</f>
        <v>L</v>
      </c>
      <c r="K221" s="4">
        <f>INDEX(Product!$A$1:$G$49,MATCH(orders!$D221,Product!$A$1:$A$49,0),MATCH(orders!K$1,Product!$A$1:$G$1,0))</f>
        <v>0.2</v>
      </c>
      <c r="L221" s="5">
        <f>INDEX(Product!$A$1:$G$49,MATCH(orders!$D221,Product!$A$1:$A$49,0),MATCH(orders!L$1,Product!$A$1:$G$1,0))</f>
        <v>3.5849999999999995</v>
      </c>
      <c r="M221" s="5">
        <f t="shared" si="3"/>
        <v>10.754999999999999</v>
      </c>
      <c r="N221" t="str" cm="1">
        <f t="array" ref="N221">_xlfn.IFS(I221="Rob", "Robusta", I221="Exc", "Excelsa", I221="Ara", "Arabica", I221="Lib", "Liberica", TRUE, "")</f>
        <v>Robusta</v>
      </c>
      <c r="O221" t="str" cm="1">
        <f t="array" ref="O221">_xlfn.IFS(J221="M", "Medium", J221="L", "Light", J221="D", "Dark", TRUE, "")</f>
        <v>Light</v>
      </c>
      <c r="P221" t="str">
        <f>_xlfn.XLOOKUP(Table1[[#This Row],[Customer ID]], customers!$A$1:$A$1001, customers!$I$1:$I$1001,, 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INDEX(Product!$A$1:$G$49,MATCH(orders!$D222,Product!$A$1:$A$49,0),MATCH(orders!I$1,Product!$A$1:$G$1,0))</f>
        <v>Rob</v>
      </c>
      <c r="J222" t="str">
        <f>INDEX(Product!$A$1:$G$49,MATCH(orders!$D222,Product!$A$1:$A$49,0),MATCH(orders!J$1,Product!$A$1:$G$1,0))</f>
        <v>M</v>
      </c>
      <c r="K222" s="4">
        <f>INDEX(Product!$A$1:$G$49,MATCH(orders!$D222,Product!$A$1:$A$49,0),MATCH(orders!K$1,Product!$A$1:$G$1,0))</f>
        <v>0.2</v>
      </c>
      <c r="L222" s="5">
        <f>INDEX(Product!$A$1:$G$49,MATCH(orders!$D222,Product!$A$1:$A$49,0),MATCH(orders!L$1,Product!$A$1:$G$1,0))</f>
        <v>2.9849999999999999</v>
      </c>
      <c r="M222" s="5">
        <f t="shared" si="3"/>
        <v>14.924999999999999</v>
      </c>
      <c r="N222" t="str" cm="1">
        <f t="array" ref="N222">_xlfn.IFS(I222="Rob", "Robusta", I222="Exc", "Excelsa", I222="Ara", "Arabica", I222="Lib", "Liberica", TRUE, "")</f>
        <v>Robusta</v>
      </c>
      <c r="O222" t="str" cm="1">
        <f t="array" ref="O222">_xlfn.IFS(J222="M", "Medium", J222="L", "Light", J222="D", "Dark", TRUE, "")</f>
        <v>Medium</v>
      </c>
      <c r="P222" t="str">
        <f>_xlfn.XLOOKUP(Table1[[#This Row],[Customer ID]], customers!$A$1:$A$1001, customers!$I$1:$I$1001,, 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INDEX(Product!$A$1:$G$49,MATCH(orders!$D223,Product!$A$1:$A$49,0),MATCH(orders!I$1,Product!$A$1:$G$1,0))</f>
        <v>Ara</v>
      </c>
      <c r="J223" t="str">
        <f>INDEX(Product!$A$1:$G$49,MATCH(orders!$D223,Product!$A$1:$A$49,0),MATCH(orders!J$1,Product!$A$1:$G$1,0))</f>
        <v>L</v>
      </c>
      <c r="K223" s="4">
        <f>INDEX(Product!$A$1:$G$49,MATCH(orders!$D223,Product!$A$1:$A$49,0),MATCH(orders!K$1,Product!$A$1:$G$1,0))</f>
        <v>1</v>
      </c>
      <c r="L223" s="5">
        <f>INDEX(Product!$A$1:$G$49,MATCH(orders!$D223,Product!$A$1:$A$49,0),MATCH(orders!L$1,Product!$A$1:$G$1,0))</f>
        <v>12.95</v>
      </c>
      <c r="M223" s="5">
        <f t="shared" si="3"/>
        <v>77.699999999999989</v>
      </c>
      <c r="N223" t="str" cm="1">
        <f t="array" ref="N223">_xlfn.IFS(I223="Rob", "Robusta", I223="Exc", "Excelsa", I223="Ara", "Arabica", I223="Lib", "Liberica", TRUE, "")</f>
        <v>Arabica</v>
      </c>
      <c r="O223" t="str" cm="1">
        <f t="array" ref="O223">_xlfn.IFS(J223="M", "Medium", J223="L", "Light", J223="D", "Dark", TRUE, "")</f>
        <v>Light</v>
      </c>
      <c r="P223" t="str">
        <f>_xlfn.XLOOKUP(Table1[[#This Row],[Customer ID]], customers!$A$1:$A$1001, customers!$I$1:$I$1001,, 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INDEX(Product!$A$1:$G$49,MATCH(orders!$D224,Product!$A$1:$A$49,0),MATCH(orders!I$1,Product!$A$1:$G$1,0))</f>
        <v>Lib</v>
      </c>
      <c r="J224" t="str">
        <f>INDEX(Product!$A$1:$G$49,MATCH(orders!$D224,Product!$A$1:$A$49,0),MATCH(orders!J$1,Product!$A$1:$G$1,0))</f>
        <v>D</v>
      </c>
      <c r="K224" s="4">
        <f>INDEX(Product!$A$1:$G$49,MATCH(orders!$D224,Product!$A$1:$A$49,0),MATCH(orders!K$1,Product!$A$1:$G$1,0))</f>
        <v>0.5</v>
      </c>
      <c r="L224" s="5">
        <f>INDEX(Product!$A$1:$G$49,MATCH(orders!$D224,Product!$A$1:$A$49,0),MATCH(orders!L$1,Product!$A$1:$G$1,0))</f>
        <v>7.77</v>
      </c>
      <c r="M224" s="5">
        <f t="shared" si="3"/>
        <v>23.31</v>
      </c>
      <c r="N224" t="str" cm="1">
        <f t="array" ref="N224">_xlfn.IFS(I224="Rob", "Robusta", I224="Exc", "Excelsa", I224="Ara", "Arabica", I224="Lib", "Liberica", TRUE, "")</f>
        <v>Liberica</v>
      </c>
      <c r="O224" t="str" cm="1">
        <f t="array" ref="O224">_xlfn.IFS(J224="M", "Medium", J224="L", "Light", J224="D", "Dark", TRUE, "")</f>
        <v>Dark</v>
      </c>
      <c r="P224" t="str">
        <f>_xlfn.XLOOKUP(Table1[[#This Row],[Customer ID]], customers!$A$1:$A$1001, customers!$I$1:$I$1001,, 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INDEX(Product!$A$1:$G$49,MATCH(orders!$D225,Product!$A$1:$A$49,0),MATCH(orders!I$1,Product!$A$1:$G$1,0))</f>
        <v>Exc</v>
      </c>
      <c r="J225" t="str">
        <f>INDEX(Product!$A$1:$G$49,MATCH(orders!$D225,Product!$A$1:$A$49,0),MATCH(orders!J$1,Product!$A$1:$G$1,0))</f>
        <v>L</v>
      </c>
      <c r="K225" s="4">
        <f>INDEX(Product!$A$1:$G$49,MATCH(orders!$D225,Product!$A$1:$A$49,0),MATCH(orders!K$1,Product!$A$1:$G$1,0))</f>
        <v>1</v>
      </c>
      <c r="L225" s="5">
        <f>INDEX(Product!$A$1:$G$49,MATCH(orders!$D225,Product!$A$1:$A$49,0),MATCH(orders!L$1,Product!$A$1:$G$1,0))</f>
        <v>14.85</v>
      </c>
      <c r="M225" s="5">
        <f t="shared" si="3"/>
        <v>59.4</v>
      </c>
      <c r="N225" t="str" cm="1">
        <f t="array" ref="N225">_xlfn.IFS(I225="Rob", "Robusta", I225="Exc", "Excelsa", I225="Ara", "Arabica", I225="Lib", "Liberica", TRUE, "")</f>
        <v>Excelsa</v>
      </c>
      <c r="O225" t="str" cm="1">
        <f t="array" ref="O225">_xlfn.IFS(J225="M", "Medium", J225="L", "Light", J225="D", "Dark", TRUE, "")</f>
        <v>Light</v>
      </c>
      <c r="P225" t="str">
        <f>_xlfn.XLOOKUP(Table1[[#This Row],[Customer ID]], customers!$A$1:$A$1001, customers!$I$1:$I$1001,, 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INDEX(Product!$A$1:$G$49,MATCH(orders!$D226,Product!$A$1:$A$49,0),MATCH(orders!I$1,Product!$A$1:$G$1,0))</f>
        <v>Lib</v>
      </c>
      <c r="J226" t="str">
        <f>INDEX(Product!$A$1:$G$49,MATCH(orders!$D226,Product!$A$1:$A$49,0),MATCH(orders!J$1,Product!$A$1:$G$1,0))</f>
        <v>D</v>
      </c>
      <c r="K226" s="4">
        <f>INDEX(Product!$A$1:$G$49,MATCH(orders!$D226,Product!$A$1:$A$49,0),MATCH(orders!K$1,Product!$A$1:$G$1,0))</f>
        <v>2.5</v>
      </c>
      <c r="L226" s="5">
        <f>INDEX(Product!$A$1:$G$49,MATCH(orders!$D226,Product!$A$1:$A$49,0),MATCH(orders!L$1,Product!$A$1:$G$1,0))</f>
        <v>29.784999999999997</v>
      </c>
      <c r="M226" s="5">
        <f t="shared" si="3"/>
        <v>119.13999999999999</v>
      </c>
      <c r="N226" t="str" cm="1">
        <f t="array" ref="N226">_xlfn.IFS(I226="Rob", "Robusta", I226="Exc", "Excelsa", I226="Ara", "Arabica", I226="Lib", "Liberica", TRUE, "")</f>
        <v>Liberica</v>
      </c>
      <c r="O226" t="str" cm="1">
        <f t="array" ref="O226">_xlfn.IFS(J226="M", "Medium", J226="L", "Light", J226="D", "Dark", TRUE, "")</f>
        <v>Dark</v>
      </c>
      <c r="P226" t="str">
        <f>_xlfn.XLOOKUP(Table1[[#This Row],[Customer ID]], customers!$A$1:$A$1001, customers!$I$1:$I$1001,, 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INDEX(Product!$A$1:$G$49,MATCH(orders!$D227,Product!$A$1:$A$49,0),MATCH(orders!I$1,Product!$A$1:$G$1,0))</f>
        <v>Rob</v>
      </c>
      <c r="J227" t="str">
        <f>INDEX(Product!$A$1:$G$49,MATCH(orders!$D227,Product!$A$1:$A$49,0),MATCH(orders!J$1,Product!$A$1:$G$1,0))</f>
        <v>L</v>
      </c>
      <c r="K227" s="4">
        <f>INDEX(Product!$A$1:$G$49,MATCH(orders!$D227,Product!$A$1:$A$49,0),MATCH(orders!K$1,Product!$A$1:$G$1,0))</f>
        <v>0.2</v>
      </c>
      <c r="L227" s="5">
        <f>INDEX(Product!$A$1:$G$49,MATCH(orders!$D227,Product!$A$1:$A$49,0),MATCH(orders!L$1,Product!$A$1:$G$1,0))</f>
        <v>3.5849999999999995</v>
      </c>
      <c r="M227" s="5">
        <f t="shared" si="3"/>
        <v>14.339999999999998</v>
      </c>
      <c r="N227" t="str" cm="1">
        <f t="array" ref="N227">_xlfn.IFS(I227="Rob", "Robusta", I227="Exc", "Excelsa", I227="Ara", "Arabica", I227="Lib", "Liberica", TRUE, "")</f>
        <v>Robusta</v>
      </c>
      <c r="O227" t="str" cm="1">
        <f t="array" ref="O227">_xlfn.IFS(J227="M", "Medium", J227="L", "Light", J227="D", "Dark", TRUE, "")</f>
        <v>Light</v>
      </c>
      <c r="P227" t="str">
        <f>_xlfn.XLOOKUP(Table1[[#This Row],[Customer ID]], customers!$A$1:$A$1001, customers!$I$1:$I$1001,, 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INDEX(Product!$A$1:$G$49,MATCH(orders!$D228,Product!$A$1:$A$49,0),MATCH(orders!I$1,Product!$A$1:$G$1,0))</f>
        <v>Ara</v>
      </c>
      <c r="J228" t="str">
        <f>INDEX(Product!$A$1:$G$49,MATCH(orders!$D228,Product!$A$1:$A$49,0),MATCH(orders!J$1,Product!$A$1:$G$1,0))</f>
        <v>M</v>
      </c>
      <c r="K228" s="4">
        <f>INDEX(Product!$A$1:$G$49,MATCH(orders!$D228,Product!$A$1:$A$49,0),MATCH(orders!K$1,Product!$A$1:$G$1,0))</f>
        <v>2.5</v>
      </c>
      <c r="L228" s="5">
        <f>INDEX(Product!$A$1:$G$49,MATCH(orders!$D228,Product!$A$1:$A$49,0),MATCH(orders!L$1,Product!$A$1:$G$1,0))</f>
        <v>25.874999999999996</v>
      </c>
      <c r="M228" s="5">
        <f t="shared" si="3"/>
        <v>129.37499999999997</v>
      </c>
      <c r="N228" t="str" cm="1">
        <f t="array" ref="N228">_xlfn.IFS(I228="Rob", "Robusta", I228="Exc", "Excelsa", I228="Ara", "Arabica", I228="Lib", "Liberica", TRUE, "")</f>
        <v>Arabica</v>
      </c>
      <c r="O228" t="str" cm="1">
        <f t="array" ref="O228">_xlfn.IFS(J228="M", "Medium", J228="L", "Light", J228="D", "Dark", TRUE, "")</f>
        <v>Medium</v>
      </c>
      <c r="P228" t="str">
        <f>_xlfn.XLOOKUP(Table1[[#This Row],[Customer ID]], customers!$A$1:$A$1001, customers!$I$1:$I$1001,, 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INDEX(Product!$A$1:$G$49,MATCH(orders!$D229,Product!$A$1:$A$49,0),MATCH(orders!I$1,Product!$A$1:$G$1,0))</f>
        <v>Rob</v>
      </c>
      <c r="J229" t="str">
        <f>INDEX(Product!$A$1:$G$49,MATCH(orders!$D229,Product!$A$1:$A$49,0),MATCH(orders!J$1,Product!$A$1:$G$1,0))</f>
        <v>D</v>
      </c>
      <c r="K229" s="4">
        <f>INDEX(Product!$A$1:$G$49,MATCH(orders!$D229,Product!$A$1:$A$49,0),MATCH(orders!K$1,Product!$A$1:$G$1,0))</f>
        <v>0.2</v>
      </c>
      <c r="L229" s="5">
        <f>INDEX(Product!$A$1:$G$49,MATCH(orders!$D229,Product!$A$1:$A$49,0),MATCH(orders!L$1,Product!$A$1:$G$1,0))</f>
        <v>2.6849999999999996</v>
      </c>
      <c r="M229" s="5">
        <f t="shared" si="3"/>
        <v>16.11</v>
      </c>
      <c r="N229" t="str" cm="1">
        <f t="array" ref="N229">_xlfn.IFS(I229="Rob", "Robusta", I229="Exc", "Excelsa", I229="Ara", "Arabica", I229="Lib", "Liberica", TRUE, "")</f>
        <v>Robusta</v>
      </c>
      <c r="O229" t="str" cm="1">
        <f t="array" ref="O229">_xlfn.IFS(J229="M", "Medium", J229="L", "Light", J229="D", "Dark", TRUE, "")</f>
        <v>Dark</v>
      </c>
      <c r="P229" t="str">
        <f>_xlfn.XLOOKUP(Table1[[#This Row],[Customer ID]], customers!$A$1:$A$1001, customers!$I$1:$I$1001,, 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INDEX(Product!$A$1:$G$49,MATCH(orders!$D230,Product!$A$1:$A$49,0),MATCH(orders!I$1,Product!$A$1:$G$1,0))</f>
        <v>Rob</v>
      </c>
      <c r="J230" t="str">
        <f>INDEX(Product!$A$1:$G$49,MATCH(orders!$D230,Product!$A$1:$A$49,0),MATCH(orders!J$1,Product!$A$1:$G$1,0))</f>
        <v>L</v>
      </c>
      <c r="K230" s="4">
        <f>INDEX(Product!$A$1:$G$49,MATCH(orders!$D230,Product!$A$1:$A$49,0),MATCH(orders!K$1,Product!$A$1:$G$1,0))</f>
        <v>0.2</v>
      </c>
      <c r="L230" s="5">
        <f>INDEX(Product!$A$1:$G$49,MATCH(orders!$D230,Product!$A$1:$A$49,0),MATCH(orders!L$1,Product!$A$1:$G$1,0))</f>
        <v>3.5849999999999995</v>
      </c>
      <c r="M230" s="5">
        <f t="shared" si="3"/>
        <v>17.924999999999997</v>
      </c>
      <c r="N230" t="str" cm="1">
        <f t="array" ref="N230">_xlfn.IFS(I230="Rob", "Robusta", I230="Exc", "Excelsa", I230="Ara", "Arabica", I230="Lib", "Liberica", TRUE, "")</f>
        <v>Robusta</v>
      </c>
      <c r="O230" t="str" cm="1">
        <f t="array" ref="O230">_xlfn.IFS(J230="M", "Medium", J230="L", "Light", J230="D", "Dark", TRUE, "")</f>
        <v>Light</v>
      </c>
      <c r="P230" t="str">
        <f>_xlfn.XLOOKUP(Table1[[#This Row],[Customer ID]], customers!$A$1:$A$1001, customers!$I$1:$I$1001,, 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INDEX(Product!$A$1:$G$49,MATCH(orders!$D231,Product!$A$1:$A$49,0),MATCH(orders!I$1,Product!$A$1:$G$1,0))</f>
        <v>Lib</v>
      </c>
      <c r="J231" t="str">
        <f>INDEX(Product!$A$1:$G$49,MATCH(orders!$D231,Product!$A$1:$A$49,0),MATCH(orders!J$1,Product!$A$1:$G$1,0))</f>
        <v>M</v>
      </c>
      <c r="K231" s="4">
        <f>INDEX(Product!$A$1:$G$49,MATCH(orders!$D231,Product!$A$1:$A$49,0),MATCH(orders!K$1,Product!$A$1:$G$1,0))</f>
        <v>0.2</v>
      </c>
      <c r="L231" s="5">
        <f>INDEX(Product!$A$1:$G$49,MATCH(orders!$D231,Product!$A$1:$A$49,0),MATCH(orders!L$1,Product!$A$1:$G$1,0))</f>
        <v>4.3650000000000002</v>
      </c>
      <c r="M231" s="5">
        <f t="shared" si="3"/>
        <v>8.73</v>
      </c>
      <c r="N231" t="str" cm="1">
        <f t="array" ref="N231">_xlfn.IFS(I231="Rob", "Robusta", I231="Exc", "Excelsa", I231="Ara", "Arabica", I231="Lib", "Liberica", TRUE, "")</f>
        <v>Liberica</v>
      </c>
      <c r="O231" t="str" cm="1">
        <f t="array" ref="O231">_xlfn.IFS(J231="M", "Medium", J231="L", "Light", J231="D", "Dark", TRUE, "")</f>
        <v>Medium</v>
      </c>
      <c r="P231" t="str">
        <f>_xlfn.XLOOKUP(Table1[[#This Row],[Customer ID]], customers!$A$1:$A$1001, customers!$I$1:$I$1001,, 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INDEX(Product!$A$1:$G$49,MATCH(orders!$D232,Product!$A$1:$A$49,0),MATCH(orders!I$1,Product!$A$1:$G$1,0))</f>
        <v>Ara</v>
      </c>
      <c r="J232" t="str">
        <f>INDEX(Product!$A$1:$G$49,MATCH(orders!$D232,Product!$A$1:$A$49,0),MATCH(orders!J$1,Product!$A$1:$G$1,0))</f>
        <v>M</v>
      </c>
      <c r="K232" s="4">
        <f>INDEX(Product!$A$1:$G$49,MATCH(orders!$D232,Product!$A$1:$A$49,0),MATCH(orders!K$1,Product!$A$1:$G$1,0))</f>
        <v>2.5</v>
      </c>
      <c r="L232" s="5">
        <f>INDEX(Product!$A$1:$G$49,MATCH(orders!$D232,Product!$A$1:$A$49,0),MATCH(orders!L$1,Product!$A$1:$G$1,0))</f>
        <v>25.874999999999996</v>
      </c>
      <c r="M232" s="5">
        <f t="shared" si="3"/>
        <v>51.749999999999993</v>
      </c>
      <c r="N232" t="str" cm="1">
        <f t="array" ref="N232">_xlfn.IFS(I232="Rob", "Robusta", I232="Exc", "Excelsa", I232="Ara", "Arabica", I232="Lib", "Liberica", TRUE, "")</f>
        <v>Arabica</v>
      </c>
      <c r="O232" t="str" cm="1">
        <f t="array" ref="O232">_xlfn.IFS(J232="M", "Medium", J232="L", "Light", J232="D", "Dark", TRUE, "")</f>
        <v>Medium</v>
      </c>
      <c r="P232" t="str">
        <f>_xlfn.XLOOKUP(Table1[[#This Row],[Customer ID]], customers!$A$1:$A$1001, customers!$I$1:$I$1001,, 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INDEX(Product!$A$1:$G$49,MATCH(orders!$D233,Product!$A$1:$A$49,0),MATCH(orders!I$1,Product!$A$1:$G$1,0))</f>
        <v>Lib</v>
      </c>
      <c r="J233" t="str">
        <f>INDEX(Product!$A$1:$G$49,MATCH(orders!$D233,Product!$A$1:$A$49,0),MATCH(orders!J$1,Product!$A$1:$G$1,0))</f>
        <v>M</v>
      </c>
      <c r="K233" s="4">
        <f>INDEX(Product!$A$1:$G$49,MATCH(orders!$D233,Product!$A$1:$A$49,0),MATCH(orders!K$1,Product!$A$1:$G$1,0))</f>
        <v>0.2</v>
      </c>
      <c r="L233" s="5">
        <f>INDEX(Product!$A$1:$G$49,MATCH(orders!$D233,Product!$A$1:$A$49,0),MATCH(orders!L$1,Product!$A$1:$G$1,0))</f>
        <v>4.3650000000000002</v>
      </c>
      <c r="M233" s="5">
        <f t="shared" si="3"/>
        <v>8.73</v>
      </c>
      <c r="N233" t="str" cm="1">
        <f t="array" ref="N233">_xlfn.IFS(I233="Rob", "Robusta", I233="Exc", "Excelsa", I233="Ara", "Arabica", I233="Lib", "Liberica", TRUE, "")</f>
        <v>Liberica</v>
      </c>
      <c r="O233" t="str" cm="1">
        <f t="array" ref="O233">_xlfn.IFS(J233="M", "Medium", J233="L", "Light", J233="D", "Dark", TRUE, "")</f>
        <v>Medium</v>
      </c>
      <c r="P233" t="str">
        <f>_xlfn.XLOOKUP(Table1[[#This Row],[Customer ID]], customers!$A$1:$A$1001, customers!$I$1:$I$1001,, 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INDEX(Product!$A$1:$G$49,MATCH(orders!$D234,Product!$A$1:$A$49,0),MATCH(orders!I$1,Product!$A$1:$G$1,0))</f>
        <v>Lib</v>
      </c>
      <c r="J234" t="str">
        <f>INDEX(Product!$A$1:$G$49,MATCH(orders!$D234,Product!$A$1:$A$49,0),MATCH(orders!J$1,Product!$A$1:$G$1,0))</f>
        <v>L</v>
      </c>
      <c r="K234" s="4">
        <f>INDEX(Product!$A$1:$G$49,MATCH(orders!$D234,Product!$A$1:$A$49,0),MATCH(orders!K$1,Product!$A$1:$G$1,0))</f>
        <v>0.2</v>
      </c>
      <c r="L234" s="5">
        <f>INDEX(Product!$A$1:$G$49,MATCH(orders!$D234,Product!$A$1:$A$49,0),MATCH(orders!L$1,Product!$A$1:$G$1,0))</f>
        <v>4.7549999999999999</v>
      </c>
      <c r="M234" s="5">
        <f t="shared" si="3"/>
        <v>23.774999999999999</v>
      </c>
      <c r="N234" t="str" cm="1">
        <f t="array" ref="N234">_xlfn.IFS(I234="Rob", "Robusta", I234="Exc", "Excelsa", I234="Ara", "Arabica", I234="Lib", "Liberica", TRUE, "")</f>
        <v>Liberica</v>
      </c>
      <c r="O234" t="str" cm="1">
        <f t="array" ref="O234">_xlfn.IFS(J234="M", "Medium", J234="L", "Light", J234="D", "Dark", TRUE, "")</f>
        <v>Light</v>
      </c>
      <c r="P234" t="str">
        <f>_xlfn.XLOOKUP(Table1[[#This Row],[Customer ID]], customers!$A$1:$A$1001, customers!$I$1:$I$1001,, 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INDEX(Product!$A$1:$G$49,MATCH(orders!$D235,Product!$A$1:$A$49,0),MATCH(orders!I$1,Product!$A$1:$G$1,0))</f>
        <v>Exc</v>
      </c>
      <c r="J235" t="str">
        <f>INDEX(Product!$A$1:$G$49,MATCH(orders!$D235,Product!$A$1:$A$49,0),MATCH(orders!J$1,Product!$A$1:$G$1,0))</f>
        <v>M</v>
      </c>
      <c r="K235" s="4">
        <f>INDEX(Product!$A$1:$G$49,MATCH(orders!$D235,Product!$A$1:$A$49,0),MATCH(orders!K$1,Product!$A$1:$G$1,0))</f>
        <v>0.2</v>
      </c>
      <c r="L235" s="5">
        <f>INDEX(Product!$A$1:$G$49,MATCH(orders!$D235,Product!$A$1:$A$49,0),MATCH(orders!L$1,Product!$A$1:$G$1,0))</f>
        <v>4.125</v>
      </c>
      <c r="M235" s="5">
        <f t="shared" si="3"/>
        <v>20.625</v>
      </c>
      <c r="N235" t="str" cm="1">
        <f t="array" ref="N235">_xlfn.IFS(I235="Rob", "Robusta", I235="Exc", "Excelsa", I235="Ara", "Arabica", I235="Lib", "Liberica", TRUE, "")</f>
        <v>Excelsa</v>
      </c>
      <c r="O235" t="str" cm="1">
        <f t="array" ref="O235">_xlfn.IFS(J235="M", "Medium", J235="L", "Light", J235="D", "Dark", TRUE, "")</f>
        <v>Medium</v>
      </c>
      <c r="P235" t="str">
        <f>_xlfn.XLOOKUP(Table1[[#This Row],[Customer ID]], customers!$A$1:$A$1001, customers!$I$1:$I$1001,, 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INDEX(Product!$A$1:$G$49,MATCH(orders!$D236,Product!$A$1:$A$49,0),MATCH(orders!I$1,Product!$A$1:$G$1,0))</f>
        <v>Lib</v>
      </c>
      <c r="J236" t="str">
        <f>INDEX(Product!$A$1:$G$49,MATCH(orders!$D236,Product!$A$1:$A$49,0),MATCH(orders!J$1,Product!$A$1:$G$1,0))</f>
        <v>L</v>
      </c>
      <c r="K236" s="4">
        <f>INDEX(Product!$A$1:$G$49,MATCH(orders!$D236,Product!$A$1:$A$49,0),MATCH(orders!K$1,Product!$A$1:$G$1,0))</f>
        <v>2.5</v>
      </c>
      <c r="L236" s="5">
        <f>INDEX(Product!$A$1:$G$49,MATCH(orders!$D236,Product!$A$1:$A$49,0),MATCH(orders!L$1,Product!$A$1:$G$1,0))</f>
        <v>36.454999999999998</v>
      </c>
      <c r="M236" s="5">
        <f t="shared" si="3"/>
        <v>36.454999999999998</v>
      </c>
      <c r="N236" t="str" cm="1">
        <f t="array" ref="N236">_xlfn.IFS(I236="Rob", "Robusta", I236="Exc", "Excelsa", I236="Ara", "Arabica", I236="Lib", "Liberica", TRUE, "")</f>
        <v>Liberica</v>
      </c>
      <c r="O236" t="str" cm="1">
        <f t="array" ref="O236">_xlfn.IFS(J236="M", "Medium", J236="L", "Light", J236="D", "Dark", TRUE, "")</f>
        <v>Light</v>
      </c>
      <c r="P236" t="str">
        <f>_xlfn.XLOOKUP(Table1[[#This Row],[Customer ID]], customers!$A$1:$A$1001, customers!$I$1:$I$1001,, 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INDEX(Product!$A$1:$G$49,MATCH(orders!$D237,Product!$A$1:$A$49,0),MATCH(orders!I$1,Product!$A$1:$G$1,0))</f>
        <v>Lib</v>
      </c>
      <c r="J237" t="str">
        <f>INDEX(Product!$A$1:$G$49,MATCH(orders!$D237,Product!$A$1:$A$49,0),MATCH(orders!J$1,Product!$A$1:$G$1,0))</f>
        <v>L</v>
      </c>
      <c r="K237" s="4">
        <f>INDEX(Product!$A$1:$G$49,MATCH(orders!$D237,Product!$A$1:$A$49,0),MATCH(orders!K$1,Product!$A$1:$G$1,0))</f>
        <v>2.5</v>
      </c>
      <c r="L237" s="5">
        <f>INDEX(Product!$A$1:$G$49,MATCH(orders!$D237,Product!$A$1:$A$49,0),MATCH(orders!L$1,Product!$A$1:$G$1,0))</f>
        <v>36.454999999999998</v>
      </c>
      <c r="M237" s="5">
        <f t="shared" si="3"/>
        <v>182.27499999999998</v>
      </c>
      <c r="N237" t="str" cm="1">
        <f t="array" ref="N237">_xlfn.IFS(I237="Rob", "Robusta", I237="Exc", "Excelsa", I237="Ara", "Arabica", I237="Lib", "Liberica", TRUE, "")</f>
        <v>Liberica</v>
      </c>
      <c r="O237" t="str" cm="1">
        <f t="array" ref="O237">_xlfn.IFS(J237="M", "Medium", J237="L", "Light", J237="D", "Dark", TRUE, "")</f>
        <v>Light</v>
      </c>
      <c r="P237" t="str">
        <f>_xlfn.XLOOKUP(Table1[[#This Row],[Customer ID]], customers!$A$1:$A$1001, customers!$I$1:$I$1001,, 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INDEX(Product!$A$1:$G$49,MATCH(orders!$D238,Product!$A$1:$A$49,0),MATCH(orders!I$1,Product!$A$1:$G$1,0))</f>
        <v>Lib</v>
      </c>
      <c r="J238" t="str">
        <f>INDEX(Product!$A$1:$G$49,MATCH(orders!$D238,Product!$A$1:$A$49,0),MATCH(orders!J$1,Product!$A$1:$G$1,0))</f>
        <v>D</v>
      </c>
      <c r="K238" s="4">
        <f>INDEX(Product!$A$1:$G$49,MATCH(orders!$D238,Product!$A$1:$A$49,0),MATCH(orders!K$1,Product!$A$1:$G$1,0))</f>
        <v>2.5</v>
      </c>
      <c r="L238" s="5">
        <f>INDEX(Product!$A$1:$G$49,MATCH(orders!$D238,Product!$A$1:$A$49,0),MATCH(orders!L$1,Product!$A$1:$G$1,0))</f>
        <v>29.784999999999997</v>
      </c>
      <c r="M238" s="5">
        <f t="shared" si="3"/>
        <v>89.35499999999999</v>
      </c>
      <c r="N238" t="str" cm="1">
        <f t="array" ref="N238">_xlfn.IFS(I238="Rob", "Robusta", I238="Exc", "Excelsa", I238="Ara", "Arabica", I238="Lib", "Liberica", TRUE, "")</f>
        <v>Liberica</v>
      </c>
      <c r="O238" t="str" cm="1">
        <f t="array" ref="O238">_xlfn.IFS(J238="M", "Medium", J238="L", "Light", J238="D", "Dark", TRUE, "")</f>
        <v>Dark</v>
      </c>
      <c r="P238" t="str">
        <f>_xlfn.XLOOKUP(Table1[[#This Row],[Customer ID]], customers!$A$1:$A$1001, customers!$I$1:$I$1001,, 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INDEX(Product!$A$1:$G$49,MATCH(orders!$D239,Product!$A$1:$A$49,0),MATCH(orders!I$1,Product!$A$1:$G$1,0))</f>
        <v>Rob</v>
      </c>
      <c r="J239" t="str">
        <f>INDEX(Product!$A$1:$G$49,MATCH(orders!$D239,Product!$A$1:$A$49,0),MATCH(orders!J$1,Product!$A$1:$G$1,0))</f>
        <v>L</v>
      </c>
      <c r="K239" s="4">
        <f>INDEX(Product!$A$1:$G$49,MATCH(orders!$D239,Product!$A$1:$A$49,0),MATCH(orders!K$1,Product!$A$1:$G$1,0))</f>
        <v>0.2</v>
      </c>
      <c r="L239" s="5">
        <f>INDEX(Product!$A$1:$G$49,MATCH(orders!$D239,Product!$A$1:$A$49,0),MATCH(orders!L$1,Product!$A$1:$G$1,0))</f>
        <v>3.5849999999999995</v>
      </c>
      <c r="M239" s="5">
        <f t="shared" si="3"/>
        <v>3.5849999999999995</v>
      </c>
      <c r="N239" t="str" cm="1">
        <f t="array" ref="N239">_xlfn.IFS(I239="Rob", "Robusta", I239="Exc", "Excelsa", I239="Ara", "Arabica", I239="Lib", "Liberica", TRUE, "")</f>
        <v>Robusta</v>
      </c>
      <c r="O239" t="str" cm="1">
        <f t="array" ref="O239">_xlfn.IFS(J239="M", "Medium", J239="L", "Light", J239="D", "Dark", TRUE, "")</f>
        <v>Light</v>
      </c>
      <c r="P239" t="str">
        <f>_xlfn.XLOOKUP(Table1[[#This Row],[Customer ID]], customers!$A$1:$A$1001, customers!$I$1:$I$1001,, 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INDEX(Product!$A$1:$G$49,MATCH(orders!$D240,Product!$A$1:$A$49,0),MATCH(orders!I$1,Product!$A$1:$G$1,0))</f>
        <v>Rob</v>
      </c>
      <c r="J240" t="str">
        <f>INDEX(Product!$A$1:$G$49,MATCH(orders!$D240,Product!$A$1:$A$49,0),MATCH(orders!J$1,Product!$A$1:$G$1,0))</f>
        <v>M</v>
      </c>
      <c r="K240" s="4">
        <f>INDEX(Product!$A$1:$G$49,MATCH(orders!$D240,Product!$A$1:$A$49,0),MATCH(orders!K$1,Product!$A$1:$G$1,0))</f>
        <v>2.5</v>
      </c>
      <c r="L240" s="5">
        <f>INDEX(Product!$A$1:$G$49,MATCH(orders!$D240,Product!$A$1:$A$49,0),MATCH(orders!L$1,Product!$A$1:$G$1,0))</f>
        <v>22.884999999999998</v>
      </c>
      <c r="M240" s="5">
        <f t="shared" si="3"/>
        <v>45.769999999999996</v>
      </c>
      <c r="N240" t="str" cm="1">
        <f t="array" ref="N240">_xlfn.IFS(I240="Rob", "Robusta", I240="Exc", "Excelsa", I240="Ara", "Arabica", I240="Lib", "Liberica", TRUE, "")</f>
        <v>Robusta</v>
      </c>
      <c r="O240" t="str" cm="1">
        <f t="array" ref="O240">_xlfn.IFS(J240="M", "Medium", J240="L", "Light", J240="D", "Dark", TRUE, "")</f>
        <v>Medium</v>
      </c>
      <c r="P240" t="str">
        <f>_xlfn.XLOOKUP(Table1[[#This Row],[Customer ID]], customers!$A$1:$A$1001, customers!$I$1:$I$1001,, 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INDEX(Product!$A$1:$G$49,MATCH(orders!$D241,Product!$A$1:$A$49,0),MATCH(orders!I$1,Product!$A$1:$G$1,0))</f>
        <v>Exc</v>
      </c>
      <c r="J241" t="str">
        <f>INDEX(Product!$A$1:$G$49,MATCH(orders!$D241,Product!$A$1:$A$49,0),MATCH(orders!J$1,Product!$A$1:$G$1,0))</f>
        <v>L</v>
      </c>
      <c r="K241" s="4">
        <f>INDEX(Product!$A$1:$G$49,MATCH(orders!$D241,Product!$A$1:$A$49,0),MATCH(orders!K$1,Product!$A$1:$G$1,0))</f>
        <v>1</v>
      </c>
      <c r="L241" s="5">
        <f>INDEX(Product!$A$1:$G$49,MATCH(orders!$D241,Product!$A$1:$A$49,0),MATCH(orders!L$1,Product!$A$1:$G$1,0))</f>
        <v>14.85</v>
      </c>
      <c r="M241" s="5">
        <f t="shared" si="3"/>
        <v>59.4</v>
      </c>
      <c r="N241" t="str" cm="1">
        <f t="array" ref="N241">_xlfn.IFS(I241="Rob", "Robusta", I241="Exc", "Excelsa", I241="Ara", "Arabica", I241="Lib", "Liberica", TRUE, "")</f>
        <v>Excelsa</v>
      </c>
      <c r="O241" t="str" cm="1">
        <f t="array" ref="O241">_xlfn.IFS(J241="M", "Medium", J241="L", "Light", J241="D", "Dark", TRUE, "")</f>
        <v>Light</v>
      </c>
      <c r="P241" t="str">
        <f>_xlfn.XLOOKUP(Table1[[#This Row],[Customer ID]], customers!$A$1:$A$1001, customers!$I$1:$I$1001,, 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INDEX(Product!$A$1:$G$49,MATCH(orders!$D242,Product!$A$1:$A$49,0),MATCH(orders!I$1,Product!$A$1:$G$1,0))</f>
        <v>Ara</v>
      </c>
      <c r="J242" t="str">
        <f>INDEX(Product!$A$1:$G$49,MATCH(orders!$D242,Product!$A$1:$A$49,0),MATCH(orders!J$1,Product!$A$1:$G$1,0))</f>
        <v>M</v>
      </c>
      <c r="K242" s="4">
        <f>INDEX(Product!$A$1:$G$49,MATCH(orders!$D242,Product!$A$1:$A$49,0),MATCH(orders!K$1,Product!$A$1:$G$1,0))</f>
        <v>2.5</v>
      </c>
      <c r="L242" s="5">
        <f>INDEX(Product!$A$1:$G$49,MATCH(orders!$D242,Product!$A$1:$A$49,0),MATCH(orders!L$1,Product!$A$1:$G$1,0))</f>
        <v>25.874999999999996</v>
      </c>
      <c r="M242" s="5">
        <f t="shared" si="3"/>
        <v>155.24999999999997</v>
      </c>
      <c r="N242" t="str" cm="1">
        <f t="array" ref="N242">_xlfn.IFS(I242="Rob", "Robusta", I242="Exc", "Excelsa", I242="Ara", "Arabica", I242="Lib", "Liberica", TRUE, "")</f>
        <v>Arabica</v>
      </c>
      <c r="O242" t="str" cm="1">
        <f t="array" ref="O242">_xlfn.IFS(J242="M", "Medium", J242="L", "Light", J242="D", "Dark", TRUE, "")</f>
        <v>Medium</v>
      </c>
      <c r="P242" t="str">
        <f>_xlfn.XLOOKUP(Table1[[#This Row],[Customer ID]], customers!$A$1:$A$1001, customers!$I$1:$I$1001,, 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INDEX(Product!$A$1:$G$49,MATCH(orders!$D243,Product!$A$1:$A$49,0),MATCH(orders!I$1,Product!$A$1:$G$1,0))</f>
        <v>Rob</v>
      </c>
      <c r="J243" t="str">
        <f>INDEX(Product!$A$1:$G$49,MATCH(orders!$D243,Product!$A$1:$A$49,0),MATCH(orders!J$1,Product!$A$1:$G$1,0))</f>
        <v>M</v>
      </c>
      <c r="K243" s="4">
        <f>INDEX(Product!$A$1:$G$49,MATCH(orders!$D243,Product!$A$1:$A$49,0),MATCH(orders!K$1,Product!$A$1:$G$1,0))</f>
        <v>2.5</v>
      </c>
      <c r="L243" s="5">
        <f>INDEX(Product!$A$1:$G$49,MATCH(orders!$D243,Product!$A$1:$A$49,0),MATCH(orders!L$1,Product!$A$1:$G$1,0))</f>
        <v>22.884999999999998</v>
      </c>
      <c r="M243" s="5">
        <f t="shared" si="3"/>
        <v>45.769999999999996</v>
      </c>
      <c r="N243" t="str" cm="1">
        <f t="array" ref="N243">_xlfn.IFS(I243="Rob", "Robusta", I243="Exc", "Excelsa", I243="Ara", "Arabica", I243="Lib", "Liberica", TRUE, "")</f>
        <v>Robusta</v>
      </c>
      <c r="O243" t="str" cm="1">
        <f t="array" ref="O243">_xlfn.IFS(J243="M", "Medium", J243="L", "Light", J243="D", "Dark", TRUE, "")</f>
        <v>Medium</v>
      </c>
      <c r="P243" t="str">
        <f>_xlfn.XLOOKUP(Table1[[#This Row],[Customer ID]], customers!$A$1:$A$1001, customers!$I$1:$I$1001,, 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INDEX(Product!$A$1:$G$49,MATCH(orders!$D244,Product!$A$1:$A$49,0),MATCH(orders!I$1,Product!$A$1:$G$1,0))</f>
        <v>Exc</v>
      </c>
      <c r="J244" t="str">
        <f>INDEX(Product!$A$1:$G$49,MATCH(orders!$D244,Product!$A$1:$A$49,0),MATCH(orders!J$1,Product!$A$1:$G$1,0))</f>
        <v>D</v>
      </c>
      <c r="K244" s="4">
        <f>INDEX(Product!$A$1:$G$49,MATCH(orders!$D244,Product!$A$1:$A$49,0),MATCH(orders!K$1,Product!$A$1:$G$1,0))</f>
        <v>1</v>
      </c>
      <c r="L244" s="5">
        <f>INDEX(Product!$A$1:$G$49,MATCH(orders!$D244,Product!$A$1:$A$49,0),MATCH(orders!L$1,Product!$A$1:$G$1,0))</f>
        <v>12.15</v>
      </c>
      <c r="M244" s="5">
        <f t="shared" si="3"/>
        <v>36.450000000000003</v>
      </c>
      <c r="N244" t="str" cm="1">
        <f t="array" ref="N244">_xlfn.IFS(I244="Rob", "Robusta", I244="Exc", "Excelsa", I244="Ara", "Arabica", I244="Lib", "Liberica", TRUE, "")</f>
        <v>Excelsa</v>
      </c>
      <c r="O244" t="str" cm="1">
        <f t="array" ref="O244">_xlfn.IFS(J244="M", "Medium", J244="L", "Light", J244="D", "Dark", TRUE, "")</f>
        <v>Dark</v>
      </c>
      <c r="P244" t="str">
        <f>_xlfn.XLOOKUP(Table1[[#This Row],[Customer ID]], customers!$A$1:$A$1001, customers!$I$1:$I$1001,, 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INDEX(Product!$A$1:$G$49,MATCH(orders!$D245,Product!$A$1:$A$49,0),MATCH(orders!I$1,Product!$A$1:$G$1,0))</f>
        <v>Exc</v>
      </c>
      <c r="J245" t="str">
        <f>INDEX(Product!$A$1:$G$49,MATCH(orders!$D245,Product!$A$1:$A$49,0),MATCH(orders!J$1,Product!$A$1:$G$1,0))</f>
        <v>D</v>
      </c>
      <c r="K245" s="4">
        <f>INDEX(Product!$A$1:$G$49,MATCH(orders!$D245,Product!$A$1:$A$49,0),MATCH(orders!K$1,Product!$A$1:$G$1,0))</f>
        <v>0.5</v>
      </c>
      <c r="L245" s="5">
        <f>INDEX(Product!$A$1:$G$49,MATCH(orders!$D245,Product!$A$1:$A$49,0),MATCH(orders!L$1,Product!$A$1:$G$1,0))</f>
        <v>7.29</v>
      </c>
      <c r="M245" s="5">
        <f t="shared" si="3"/>
        <v>29.16</v>
      </c>
      <c r="N245" t="str" cm="1">
        <f t="array" ref="N245">_xlfn.IFS(I245="Rob", "Robusta", I245="Exc", "Excelsa", I245="Ara", "Arabica", I245="Lib", "Liberica", TRUE, "")</f>
        <v>Excelsa</v>
      </c>
      <c r="O245" t="str" cm="1">
        <f t="array" ref="O245">_xlfn.IFS(J245="M", "Medium", J245="L", "Light", J245="D", "Dark", TRUE, "")</f>
        <v>Dark</v>
      </c>
      <c r="P245" t="str">
        <f>_xlfn.XLOOKUP(Table1[[#This Row],[Customer ID]], customers!$A$1:$A$1001, customers!$I$1:$I$1001,, 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INDEX(Product!$A$1:$G$49,MATCH(orders!$D246,Product!$A$1:$A$49,0),MATCH(orders!I$1,Product!$A$1:$G$1,0))</f>
        <v>Lib</v>
      </c>
      <c r="J246" t="str">
        <f>INDEX(Product!$A$1:$G$49,MATCH(orders!$D246,Product!$A$1:$A$49,0),MATCH(orders!J$1,Product!$A$1:$G$1,0))</f>
        <v>M</v>
      </c>
      <c r="K246" s="4">
        <f>INDEX(Product!$A$1:$G$49,MATCH(orders!$D246,Product!$A$1:$A$49,0),MATCH(orders!K$1,Product!$A$1:$G$1,0))</f>
        <v>2.5</v>
      </c>
      <c r="L246" s="5">
        <f>INDEX(Product!$A$1:$G$49,MATCH(orders!$D246,Product!$A$1:$A$49,0),MATCH(orders!L$1,Product!$A$1:$G$1,0))</f>
        <v>33.464999999999996</v>
      </c>
      <c r="M246" s="5">
        <f t="shared" si="3"/>
        <v>133.85999999999999</v>
      </c>
      <c r="N246" t="str" cm="1">
        <f t="array" ref="N246">_xlfn.IFS(I246="Rob", "Robusta", I246="Exc", "Excelsa", I246="Ara", "Arabica", I246="Lib", "Liberica", TRUE, "")</f>
        <v>Liberica</v>
      </c>
      <c r="O246" t="str" cm="1">
        <f t="array" ref="O246">_xlfn.IFS(J246="M", "Medium", J246="L", "Light", J246="D", "Dark", TRUE, "")</f>
        <v>Medium</v>
      </c>
      <c r="P246" t="str">
        <f>_xlfn.XLOOKUP(Table1[[#This Row],[Customer ID]], customers!$A$1:$A$1001, customers!$I$1:$I$1001,, 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INDEX(Product!$A$1:$G$49,MATCH(orders!$D247,Product!$A$1:$A$49,0),MATCH(orders!I$1,Product!$A$1:$G$1,0))</f>
        <v>Lib</v>
      </c>
      <c r="J247" t="str">
        <f>INDEX(Product!$A$1:$G$49,MATCH(orders!$D247,Product!$A$1:$A$49,0),MATCH(orders!J$1,Product!$A$1:$G$1,0))</f>
        <v>L</v>
      </c>
      <c r="K247" s="4">
        <f>INDEX(Product!$A$1:$G$49,MATCH(orders!$D247,Product!$A$1:$A$49,0),MATCH(orders!K$1,Product!$A$1:$G$1,0))</f>
        <v>0.2</v>
      </c>
      <c r="L247" s="5">
        <f>INDEX(Product!$A$1:$G$49,MATCH(orders!$D247,Product!$A$1:$A$49,0),MATCH(orders!L$1,Product!$A$1:$G$1,0))</f>
        <v>4.7549999999999999</v>
      </c>
      <c r="M247" s="5">
        <f t="shared" si="3"/>
        <v>23.774999999999999</v>
      </c>
      <c r="N247" t="str" cm="1">
        <f t="array" ref="N247">_xlfn.IFS(I247="Rob", "Robusta", I247="Exc", "Excelsa", I247="Ara", "Arabica", I247="Lib", "Liberica", TRUE, "")</f>
        <v>Liberica</v>
      </c>
      <c r="O247" t="str" cm="1">
        <f t="array" ref="O247">_xlfn.IFS(J247="M", "Medium", J247="L", "Light", J247="D", "Dark", TRUE, "")</f>
        <v>Light</v>
      </c>
      <c r="P247" t="str">
        <f>_xlfn.XLOOKUP(Table1[[#This Row],[Customer ID]], customers!$A$1:$A$1001, customers!$I$1:$I$1001,, 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INDEX(Product!$A$1:$G$49,MATCH(orders!$D248,Product!$A$1:$A$49,0),MATCH(orders!I$1,Product!$A$1:$G$1,0))</f>
        <v>Lib</v>
      </c>
      <c r="J248" t="str">
        <f>INDEX(Product!$A$1:$G$49,MATCH(orders!$D248,Product!$A$1:$A$49,0),MATCH(orders!J$1,Product!$A$1:$G$1,0))</f>
        <v>D</v>
      </c>
      <c r="K248" s="4">
        <f>INDEX(Product!$A$1:$G$49,MATCH(orders!$D248,Product!$A$1:$A$49,0),MATCH(orders!K$1,Product!$A$1:$G$1,0))</f>
        <v>1</v>
      </c>
      <c r="L248" s="5">
        <f>INDEX(Product!$A$1:$G$49,MATCH(orders!$D248,Product!$A$1:$A$49,0),MATCH(orders!L$1,Product!$A$1:$G$1,0))</f>
        <v>12.95</v>
      </c>
      <c r="M248" s="5">
        <f t="shared" si="3"/>
        <v>38.849999999999994</v>
      </c>
      <c r="N248" t="str" cm="1">
        <f t="array" ref="N248">_xlfn.IFS(I248="Rob", "Robusta", I248="Exc", "Excelsa", I248="Ara", "Arabica", I248="Lib", "Liberica", TRUE, "")</f>
        <v>Liberica</v>
      </c>
      <c r="O248" t="str" cm="1">
        <f t="array" ref="O248">_xlfn.IFS(J248="M", "Medium", J248="L", "Light", J248="D", "Dark", TRUE, "")</f>
        <v>Dark</v>
      </c>
      <c r="P248" t="str">
        <f>_xlfn.XLOOKUP(Table1[[#This Row],[Customer ID]], customers!$A$1:$A$1001, customers!$I$1:$I$1001,, 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INDEX(Product!$A$1:$G$49,MATCH(orders!$D249,Product!$A$1:$A$49,0),MATCH(orders!I$1,Product!$A$1:$G$1,0))</f>
        <v>Rob</v>
      </c>
      <c r="J249" t="str">
        <f>INDEX(Product!$A$1:$G$49,MATCH(orders!$D249,Product!$A$1:$A$49,0),MATCH(orders!J$1,Product!$A$1:$G$1,0))</f>
        <v>L</v>
      </c>
      <c r="K249" s="4">
        <f>INDEX(Product!$A$1:$G$49,MATCH(orders!$D249,Product!$A$1:$A$49,0),MATCH(orders!K$1,Product!$A$1:$G$1,0))</f>
        <v>0.2</v>
      </c>
      <c r="L249" s="5">
        <f>INDEX(Product!$A$1:$G$49,MATCH(orders!$D249,Product!$A$1:$A$49,0),MATCH(orders!L$1,Product!$A$1:$G$1,0))</f>
        <v>3.5849999999999995</v>
      </c>
      <c r="M249" s="5">
        <f t="shared" si="3"/>
        <v>21.509999999999998</v>
      </c>
      <c r="N249" t="str" cm="1">
        <f t="array" ref="N249">_xlfn.IFS(I249="Rob", "Robusta", I249="Exc", "Excelsa", I249="Ara", "Arabica", I249="Lib", "Liberica", TRUE, "")</f>
        <v>Robusta</v>
      </c>
      <c r="O249" t="str" cm="1">
        <f t="array" ref="O249">_xlfn.IFS(J249="M", "Medium", J249="L", "Light", J249="D", "Dark", TRUE, "")</f>
        <v>Light</v>
      </c>
      <c r="P249" t="str">
        <f>_xlfn.XLOOKUP(Table1[[#This Row],[Customer ID]], customers!$A$1:$A$1001, customers!$I$1:$I$1001,, 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INDEX(Product!$A$1:$G$49,MATCH(orders!$D250,Product!$A$1:$A$49,0),MATCH(orders!I$1,Product!$A$1:$G$1,0))</f>
        <v>Ara</v>
      </c>
      <c r="J250" t="str">
        <f>INDEX(Product!$A$1:$G$49,MATCH(orders!$D250,Product!$A$1:$A$49,0),MATCH(orders!J$1,Product!$A$1:$G$1,0))</f>
        <v>D</v>
      </c>
      <c r="K250" s="4">
        <f>INDEX(Product!$A$1:$G$49,MATCH(orders!$D250,Product!$A$1:$A$49,0),MATCH(orders!K$1,Product!$A$1:$G$1,0))</f>
        <v>1</v>
      </c>
      <c r="L250" s="5">
        <f>INDEX(Product!$A$1:$G$49,MATCH(orders!$D250,Product!$A$1:$A$49,0),MATCH(orders!L$1,Product!$A$1:$G$1,0))</f>
        <v>9.9499999999999993</v>
      </c>
      <c r="M250" s="5">
        <f t="shared" si="3"/>
        <v>9.9499999999999993</v>
      </c>
      <c r="N250" t="str" cm="1">
        <f t="array" ref="N250">_xlfn.IFS(I250="Rob", "Robusta", I250="Exc", "Excelsa", I250="Ara", "Arabica", I250="Lib", "Liberica", TRUE, "")</f>
        <v>Arabica</v>
      </c>
      <c r="O250" t="str" cm="1">
        <f t="array" ref="O250">_xlfn.IFS(J250="M", "Medium", J250="L", "Light", J250="D", "Dark", TRUE, "")</f>
        <v>Dark</v>
      </c>
      <c r="P250" t="str">
        <f>_xlfn.XLOOKUP(Table1[[#This Row],[Customer ID]], customers!$A$1:$A$1001, customers!$I$1:$I$1001,, 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INDEX(Product!$A$1:$G$49,MATCH(orders!$D251,Product!$A$1:$A$49,0),MATCH(orders!I$1,Product!$A$1:$G$1,0))</f>
        <v>Lib</v>
      </c>
      <c r="J251" t="str">
        <f>INDEX(Product!$A$1:$G$49,MATCH(orders!$D251,Product!$A$1:$A$49,0),MATCH(orders!J$1,Product!$A$1:$G$1,0))</f>
        <v>L</v>
      </c>
      <c r="K251" s="4">
        <f>INDEX(Product!$A$1:$G$49,MATCH(orders!$D251,Product!$A$1:$A$49,0),MATCH(orders!K$1,Product!$A$1:$G$1,0))</f>
        <v>1</v>
      </c>
      <c r="L251" s="5">
        <f>INDEX(Product!$A$1:$G$49,MATCH(orders!$D251,Product!$A$1:$A$49,0),MATCH(orders!L$1,Product!$A$1:$G$1,0))</f>
        <v>15.85</v>
      </c>
      <c r="M251" s="5">
        <f t="shared" si="3"/>
        <v>15.85</v>
      </c>
      <c r="N251" t="str" cm="1">
        <f t="array" ref="N251">_xlfn.IFS(I251="Rob", "Robusta", I251="Exc", "Excelsa", I251="Ara", "Arabica", I251="Lib", "Liberica", TRUE, "")</f>
        <v>Liberica</v>
      </c>
      <c r="O251" t="str" cm="1">
        <f t="array" ref="O251">_xlfn.IFS(J251="M", "Medium", J251="L", "Light", J251="D", "Dark", TRUE, "")</f>
        <v>Light</v>
      </c>
      <c r="P251" t="str">
        <f>_xlfn.XLOOKUP(Table1[[#This Row],[Customer ID]], customers!$A$1:$A$1001, customers!$I$1:$I$1001,, 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INDEX(Product!$A$1:$G$49,MATCH(orders!$D252,Product!$A$1:$A$49,0),MATCH(orders!I$1,Product!$A$1:$G$1,0))</f>
        <v>Rob</v>
      </c>
      <c r="J252" t="str">
        <f>INDEX(Product!$A$1:$G$49,MATCH(orders!$D252,Product!$A$1:$A$49,0),MATCH(orders!J$1,Product!$A$1:$G$1,0))</f>
        <v>M</v>
      </c>
      <c r="K252" s="4">
        <f>INDEX(Product!$A$1:$G$49,MATCH(orders!$D252,Product!$A$1:$A$49,0),MATCH(orders!K$1,Product!$A$1:$G$1,0))</f>
        <v>0.2</v>
      </c>
      <c r="L252" s="5">
        <f>INDEX(Product!$A$1:$G$49,MATCH(orders!$D252,Product!$A$1:$A$49,0),MATCH(orders!L$1,Product!$A$1:$G$1,0))</f>
        <v>2.9849999999999999</v>
      </c>
      <c r="M252" s="5">
        <f t="shared" si="3"/>
        <v>2.9849999999999999</v>
      </c>
      <c r="N252" t="str" cm="1">
        <f t="array" ref="N252">_xlfn.IFS(I252="Rob", "Robusta", I252="Exc", "Excelsa", I252="Ara", "Arabica", I252="Lib", "Liberica", TRUE, "")</f>
        <v>Robusta</v>
      </c>
      <c r="O252" t="str" cm="1">
        <f t="array" ref="O252">_xlfn.IFS(J252="M", "Medium", J252="L", "Light", J252="D", "Dark", TRUE, "")</f>
        <v>Medium</v>
      </c>
      <c r="P252" t="str">
        <f>_xlfn.XLOOKUP(Table1[[#This Row],[Customer ID]], customers!$A$1:$A$1001, customers!$I$1:$I$1001,, 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INDEX(Product!$A$1:$G$49,MATCH(orders!$D253,Product!$A$1:$A$49,0),MATCH(orders!I$1,Product!$A$1:$G$1,0))</f>
        <v>Exc</v>
      </c>
      <c r="J253" t="str">
        <f>INDEX(Product!$A$1:$G$49,MATCH(orders!$D253,Product!$A$1:$A$49,0),MATCH(orders!J$1,Product!$A$1:$G$1,0))</f>
        <v>M</v>
      </c>
      <c r="K253" s="4">
        <f>INDEX(Product!$A$1:$G$49,MATCH(orders!$D253,Product!$A$1:$A$49,0),MATCH(orders!K$1,Product!$A$1:$G$1,0))</f>
        <v>1</v>
      </c>
      <c r="L253" s="5">
        <f>INDEX(Product!$A$1:$G$49,MATCH(orders!$D253,Product!$A$1:$A$49,0),MATCH(orders!L$1,Product!$A$1:$G$1,0))</f>
        <v>13.75</v>
      </c>
      <c r="M253" s="5">
        <f t="shared" si="3"/>
        <v>68.75</v>
      </c>
      <c r="N253" t="str" cm="1">
        <f t="array" ref="N253">_xlfn.IFS(I253="Rob", "Robusta", I253="Exc", "Excelsa", I253="Ara", "Arabica", I253="Lib", "Liberica", TRUE, "")</f>
        <v>Excelsa</v>
      </c>
      <c r="O253" t="str" cm="1">
        <f t="array" ref="O253">_xlfn.IFS(J253="M", "Medium", J253="L", "Light", J253="D", "Dark", TRUE, "")</f>
        <v>Medium</v>
      </c>
      <c r="P253" t="str">
        <f>_xlfn.XLOOKUP(Table1[[#This Row],[Customer ID]], customers!$A$1:$A$1001, customers!$I$1:$I$1001,, 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INDEX(Product!$A$1:$G$49,MATCH(orders!$D254,Product!$A$1:$A$49,0),MATCH(orders!I$1,Product!$A$1:$G$1,0))</f>
        <v>Ara</v>
      </c>
      <c r="J254" t="str">
        <f>INDEX(Product!$A$1:$G$49,MATCH(orders!$D254,Product!$A$1:$A$49,0),MATCH(orders!J$1,Product!$A$1:$G$1,0))</f>
        <v>D</v>
      </c>
      <c r="K254" s="4">
        <f>INDEX(Product!$A$1:$G$49,MATCH(orders!$D254,Product!$A$1:$A$49,0),MATCH(orders!K$1,Product!$A$1:$G$1,0))</f>
        <v>1</v>
      </c>
      <c r="L254" s="5">
        <f>INDEX(Product!$A$1:$G$49,MATCH(orders!$D254,Product!$A$1:$A$49,0),MATCH(orders!L$1,Product!$A$1:$G$1,0))</f>
        <v>9.9499999999999993</v>
      </c>
      <c r="M254" s="5">
        <f t="shared" si="3"/>
        <v>29.849999999999998</v>
      </c>
      <c r="N254" t="str" cm="1">
        <f t="array" ref="N254">_xlfn.IFS(I254="Rob", "Robusta", I254="Exc", "Excelsa", I254="Ara", "Arabica", I254="Lib", "Liberica", TRUE, "")</f>
        <v>Arabica</v>
      </c>
      <c r="O254" t="str" cm="1">
        <f t="array" ref="O254">_xlfn.IFS(J254="M", "Medium", J254="L", "Light", J254="D", "Dark", TRUE, "")</f>
        <v>Dark</v>
      </c>
      <c r="P254" t="str">
        <f>_xlfn.XLOOKUP(Table1[[#This Row],[Customer ID]], customers!$A$1:$A$1001, customers!$I$1:$I$1001,, 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INDEX(Product!$A$1:$G$49,MATCH(orders!$D255,Product!$A$1:$A$49,0),MATCH(orders!I$1,Product!$A$1:$G$1,0))</f>
        <v>Lib</v>
      </c>
      <c r="J255" t="str">
        <f>INDEX(Product!$A$1:$G$49,MATCH(orders!$D255,Product!$A$1:$A$49,0),MATCH(orders!J$1,Product!$A$1:$G$1,0))</f>
        <v>M</v>
      </c>
      <c r="K255" s="4">
        <f>INDEX(Product!$A$1:$G$49,MATCH(orders!$D255,Product!$A$1:$A$49,0),MATCH(orders!K$1,Product!$A$1:$G$1,0))</f>
        <v>1</v>
      </c>
      <c r="L255" s="5">
        <f>INDEX(Product!$A$1:$G$49,MATCH(orders!$D255,Product!$A$1:$A$49,0),MATCH(orders!L$1,Product!$A$1:$G$1,0))</f>
        <v>14.55</v>
      </c>
      <c r="M255" s="5">
        <f t="shared" si="3"/>
        <v>58.2</v>
      </c>
      <c r="N255" t="str" cm="1">
        <f t="array" ref="N255">_xlfn.IFS(I255="Rob", "Robusta", I255="Exc", "Excelsa", I255="Ara", "Arabica", I255="Lib", "Liberica", TRUE, "")</f>
        <v>Liberica</v>
      </c>
      <c r="O255" t="str" cm="1">
        <f t="array" ref="O255">_xlfn.IFS(J255="M", "Medium", J255="L", "Light", J255="D", "Dark", TRUE, "")</f>
        <v>Medium</v>
      </c>
      <c r="P255" t="str">
        <f>_xlfn.XLOOKUP(Table1[[#This Row],[Customer ID]], customers!$A$1:$A$1001, customers!$I$1:$I$1001,, 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INDEX(Product!$A$1:$G$49,MATCH(orders!$D256,Product!$A$1:$A$49,0),MATCH(orders!I$1,Product!$A$1:$G$1,0))</f>
        <v>Rob</v>
      </c>
      <c r="J256" t="str">
        <f>INDEX(Product!$A$1:$G$49,MATCH(orders!$D256,Product!$A$1:$A$49,0),MATCH(orders!J$1,Product!$A$1:$G$1,0))</f>
        <v>L</v>
      </c>
      <c r="K256" s="4">
        <f>INDEX(Product!$A$1:$G$49,MATCH(orders!$D256,Product!$A$1:$A$49,0),MATCH(orders!K$1,Product!$A$1:$G$1,0))</f>
        <v>0.5</v>
      </c>
      <c r="L256" s="5">
        <f>INDEX(Product!$A$1:$G$49,MATCH(orders!$D256,Product!$A$1:$A$49,0),MATCH(orders!L$1,Product!$A$1:$G$1,0))</f>
        <v>7.169999999999999</v>
      </c>
      <c r="M256" s="5">
        <f t="shared" si="3"/>
        <v>28.679999999999996</v>
      </c>
      <c r="N256" t="str" cm="1">
        <f t="array" ref="N256">_xlfn.IFS(I256="Rob", "Robusta", I256="Exc", "Excelsa", I256="Ara", "Arabica", I256="Lib", "Liberica", TRUE, "")</f>
        <v>Robusta</v>
      </c>
      <c r="O256" t="str" cm="1">
        <f t="array" ref="O256">_xlfn.IFS(J256="M", "Medium", J256="L", "Light", J256="D", "Dark", TRUE, "")</f>
        <v>Light</v>
      </c>
      <c r="P256" t="str">
        <f>_xlfn.XLOOKUP(Table1[[#This Row],[Customer ID]], customers!$A$1:$A$1001, customers!$I$1:$I$1001,, 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INDEX(Product!$A$1:$G$49,MATCH(orders!$D257,Product!$A$1:$A$49,0),MATCH(orders!I$1,Product!$A$1:$G$1,0))</f>
        <v>Rob</v>
      </c>
      <c r="J257" t="str">
        <f>INDEX(Product!$A$1:$G$49,MATCH(orders!$D257,Product!$A$1:$A$49,0),MATCH(orders!J$1,Product!$A$1:$G$1,0))</f>
        <v>L</v>
      </c>
      <c r="K257" s="4">
        <f>INDEX(Product!$A$1:$G$49,MATCH(orders!$D257,Product!$A$1:$A$49,0),MATCH(orders!K$1,Product!$A$1:$G$1,0))</f>
        <v>0.5</v>
      </c>
      <c r="L257" s="5">
        <f>INDEX(Product!$A$1:$G$49,MATCH(orders!$D257,Product!$A$1:$A$49,0),MATCH(orders!L$1,Product!$A$1:$G$1,0))</f>
        <v>7.169999999999999</v>
      </c>
      <c r="M257" s="5">
        <f t="shared" si="3"/>
        <v>21.509999999999998</v>
      </c>
      <c r="N257" t="str" cm="1">
        <f t="array" ref="N257">_xlfn.IFS(I257="Rob", "Robusta", I257="Exc", "Excelsa", I257="Ara", "Arabica", I257="Lib", "Liberica", TRUE, "")</f>
        <v>Robusta</v>
      </c>
      <c r="O257" t="str" cm="1">
        <f t="array" ref="O257">_xlfn.IFS(J257="M", "Medium", J257="L", "Light", J257="D", "Dark", TRUE, "")</f>
        <v>Light</v>
      </c>
      <c r="P257" t="str">
        <f>_xlfn.XLOOKUP(Table1[[#This Row],[Customer ID]], customers!$A$1:$A$1001, customers!$I$1:$I$1001,, 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INDEX(Product!$A$1:$G$49,MATCH(orders!$D258,Product!$A$1:$A$49,0),MATCH(orders!I$1,Product!$A$1:$G$1,0))</f>
        <v>Lib</v>
      </c>
      <c r="J258" t="str">
        <f>INDEX(Product!$A$1:$G$49,MATCH(orders!$D258,Product!$A$1:$A$49,0),MATCH(orders!J$1,Product!$A$1:$G$1,0))</f>
        <v>M</v>
      </c>
      <c r="K258" s="4">
        <f>INDEX(Product!$A$1:$G$49,MATCH(orders!$D258,Product!$A$1:$A$49,0),MATCH(orders!K$1,Product!$A$1:$G$1,0))</f>
        <v>0.5</v>
      </c>
      <c r="L258" s="5">
        <f>INDEX(Product!$A$1:$G$49,MATCH(orders!$D258,Product!$A$1:$A$49,0),MATCH(orders!L$1,Product!$A$1:$G$1,0))</f>
        <v>8.73</v>
      </c>
      <c r="M258" s="5">
        <f t="shared" ref="M258:M321" si="4">L258*E258</f>
        <v>17.46</v>
      </c>
      <c r="N258" t="str" cm="1">
        <f t="array" ref="N258">_xlfn.IFS(I258="Rob", "Robusta", I258="Exc", "Excelsa", I258="Ara", "Arabica", I258="Lib", "Liberica", TRUE, "")</f>
        <v>Liberica</v>
      </c>
      <c r="O258" t="str" cm="1">
        <f t="array" ref="O258">_xlfn.IFS(J258="M", "Medium", J258="L", "Light", J258="D", "Dark", TRUE, "")</f>
        <v>Medium</v>
      </c>
      <c r="P258" t="str">
        <f>_xlfn.XLOOKUP(Table1[[#This Row],[Customer ID]], customers!$A$1:$A$1001, customers!$I$1:$I$1001,, 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INDEX(Product!$A$1:$G$49,MATCH(orders!$D259,Product!$A$1:$A$49,0),MATCH(orders!I$1,Product!$A$1:$G$1,0))</f>
        <v>Exc</v>
      </c>
      <c r="J259" t="str">
        <f>INDEX(Product!$A$1:$G$49,MATCH(orders!$D259,Product!$A$1:$A$49,0),MATCH(orders!J$1,Product!$A$1:$G$1,0))</f>
        <v>D</v>
      </c>
      <c r="K259" s="4">
        <f>INDEX(Product!$A$1:$G$49,MATCH(orders!$D259,Product!$A$1:$A$49,0),MATCH(orders!K$1,Product!$A$1:$G$1,0))</f>
        <v>2.5</v>
      </c>
      <c r="L259" s="5">
        <f>INDEX(Product!$A$1:$G$49,MATCH(orders!$D259,Product!$A$1:$A$49,0),MATCH(orders!L$1,Product!$A$1:$G$1,0))</f>
        <v>27.945</v>
      </c>
      <c r="M259" s="5">
        <f t="shared" si="4"/>
        <v>27.945</v>
      </c>
      <c r="N259" t="str" cm="1">
        <f t="array" ref="N259">_xlfn.IFS(I259="Rob", "Robusta", I259="Exc", "Excelsa", I259="Ara", "Arabica", I259="Lib", "Liberica", TRUE, "")</f>
        <v>Excelsa</v>
      </c>
      <c r="O259" t="str" cm="1">
        <f t="array" ref="O259">_xlfn.IFS(J259="M", "Medium", J259="L", "Light", J259="D", "Dark", TRUE, "")</f>
        <v>Dark</v>
      </c>
      <c r="P259" t="str">
        <f>_xlfn.XLOOKUP(Table1[[#This Row],[Customer ID]], customers!$A$1:$A$1001, customers!$I$1:$I$1001,, 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INDEX(Product!$A$1:$G$49,MATCH(orders!$D260,Product!$A$1:$A$49,0),MATCH(orders!I$1,Product!$A$1:$G$1,0))</f>
        <v>Exc</v>
      </c>
      <c r="J260" t="str">
        <f>INDEX(Product!$A$1:$G$49,MATCH(orders!$D260,Product!$A$1:$A$49,0),MATCH(orders!J$1,Product!$A$1:$G$1,0))</f>
        <v>D</v>
      </c>
      <c r="K260" s="4">
        <f>INDEX(Product!$A$1:$G$49,MATCH(orders!$D260,Product!$A$1:$A$49,0),MATCH(orders!K$1,Product!$A$1:$G$1,0))</f>
        <v>2.5</v>
      </c>
      <c r="L260" s="5">
        <f>INDEX(Product!$A$1:$G$49,MATCH(orders!$D260,Product!$A$1:$A$49,0),MATCH(orders!L$1,Product!$A$1:$G$1,0))</f>
        <v>27.945</v>
      </c>
      <c r="M260" s="5">
        <f t="shared" si="4"/>
        <v>139.72499999999999</v>
      </c>
      <c r="N260" t="str" cm="1">
        <f t="array" ref="N260">_xlfn.IFS(I260="Rob", "Robusta", I260="Exc", "Excelsa", I260="Ara", "Arabica", I260="Lib", "Liberica", TRUE, "")</f>
        <v>Excelsa</v>
      </c>
      <c r="O260" t="str" cm="1">
        <f t="array" ref="O260">_xlfn.IFS(J260="M", "Medium", J260="L", "Light", J260="D", "Dark", TRUE, "")</f>
        <v>Dark</v>
      </c>
      <c r="P260" t="str">
        <f>_xlfn.XLOOKUP(Table1[[#This Row],[Customer ID]], customers!$A$1:$A$1001, customers!$I$1:$I$1001,, 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INDEX(Product!$A$1:$G$49,MATCH(orders!$D261,Product!$A$1:$A$49,0),MATCH(orders!I$1,Product!$A$1:$G$1,0))</f>
        <v>Rob</v>
      </c>
      <c r="J261" t="str">
        <f>INDEX(Product!$A$1:$G$49,MATCH(orders!$D261,Product!$A$1:$A$49,0),MATCH(orders!J$1,Product!$A$1:$G$1,0))</f>
        <v>M</v>
      </c>
      <c r="K261" s="4">
        <f>INDEX(Product!$A$1:$G$49,MATCH(orders!$D261,Product!$A$1:$A$49,0),MATCH(orders!K$1,Product!$A$1:$G$1,0))</f>
        <v>0.2</v>
      </c>
      <c r="L261" s="5">
        <f>INDEX(Product!$A$1:$G$49,MATCH(orders!$D261,Product!$A$1:$A$49,0),MATCH(orders!L$1,Product!$A$1:$G$1,0))</f>
        <v>2.9849999999999999</v>
      </c>
      <c r="M261" s="5">
        <f t="shared" si="4"/>
        <v>5.97</v>
      </c>
      <c r="N261" t="str" cm="1">
        <f t="array" ref="N261">_xlfn.IFS(I261="Rob", "Robusta", I261="Exc", "Excelsa", I261="Ara", "Arabica", I261="Lib", "Liberica", TRUE, "")</f>
        <v>Robusta</v>
      </c>
      <c r="O261" t="str" cm="1">
        <f t="array" ref="O261">_xlfn.IFS(J261="M", "Medium", J261="L", "Light", J261="D", "Dark", TRUE, "")</f>
        <v>Medium</v>
      </c>
      <c r="P261" t="str">
        <f>_xlfn.XLOOKUP(Table1[[#This Row],[Customer ID]], customers!$A$1:$A$1001, customers!$I$1:$I$1001,, 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INDEX(Product!$A$1:$G$49,MATCH(orders!$D262,Product!$A$1:$A$49,0),MATCH(orders!I$1,Product!$A$1:$G$1,0))</f>
        <v>Rob</v>
      </c>
      <c r="J262" t="str">
        <f>INDEX(Product!$A$1:$G$49,MATCH(orders!$D262,Product!$A$1:$A$49,0),MATCH(orders!J$1,Product!$A$1:$G$1,0))</f>
        <v>L</v>
      </c>
      <c r="K262" s="4">
        <f>INDEX(Product!$A$1:$G$49,MATCH(orders!$D262,Product!$A$1:$A$49,0),MATCH(orders!K$1,Product!$A$1:$G$1,0))</f>
        <v>2.5</v>
      </c>
      <c r="L262" s="5">
        <f>INDEX(Product!$A$1:$G$49,MATCH(orders!$D262,Product!$A$1:$A$49,0),MATCH(orders!L$1,Product!$A$1:$G$1,0))</f>
        <v>27.484999999999996</v>
      </c>
      <c r="M262" s="5">
        <f t="shared" si="4"/>
        <v>27.484999999999996</v>
      </c>
      <c r="N262" t="str" cm="1">
        <f t="array" ref="N262">_xlfn.IFS(I262="Rob", "Robusta", I262="Exc", "Excelsa", I262="Ara", "Arabica", I262="Lib", "Liberica", TRUE, "")</f>
        <v>Robusta</v>
      </c>
      <c r="O262" t="str" cm="1">
        <f t="array" ref="O262">_xlfn.IFS(J262="M", "Medium", J262="L", "Light", J262="D", "Dark", TRUE, "")</f>
        <v>Light</v>
      </c>
      <c r="P262" t="str">
        <f>_xlfn.XLOOKUP(Table1[[#This Row],[Customer ID]], customers!$A$1:$A$1001, customers!$I$1:$I$1001,, 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INDEX(Product!$A$1:$G$49,MATCH(orders!$D263,Product!$A$1:$A$49,0),MATCH(orders!I$1,Product!$A$1:$G$1,0))</f>
        <v>Rob</v>
      </c>
      <c r="J263" t="str">
        <f>INDEX(Product!$A$1:$G$49,MATCH(orders!$D263,Product!$A$1:$A$49,0),MATCH(orders!J$1,Product!$A$1:$G$1,0))</f>
        <v>L</v>
      </c>
      <c r="K263" s="4">
        <f>INDEX(Product!$A$1:$G$49,MATCH(orders!$D263,Product!$A$1:$A$49,0),MATCH(orders!K$1,Product!$A$1:$G$1,0))</f>
        <v>1</v>
      </c>
      <c r="L263" s="5">
        <f>INDEX(Product!$A$1:$G$49,MATCH(orders!$D263,Product!$A$1:$A$49,0),MATCH(orders!L$1,Product!$A$1:$G$1,0))</f>
        <v>11.95</v>
      </c>
      <c r="M263" s="5">
        <f t="shared" si="4"/>
        <v>59.75</v>
      </c>
      <c r="N263" t="str" cm="1">
        <f t="array" ref="N263">_xlfn.IFS(I263="Rob", "Robusta", I263="Exc", "Excelsa", I263="Ara", "Arabica", I263="Lib", "Liberica", TRUE, "")</f>
        <v>Robusta</v>
      </c>
      <c r="O263" t="str" cm="1">
        <f t="array" ref="O263">_xlfn.IFS(J263="M", "Medium", J263="L", "Light", J263="D", "Dark", TRUE, "")</f>
        <v>Light</v>
      </c>
      <c r="P263" t="str">
        <f>_xlfn.XLOOKUP(Table1[[#This Row],[Customer ID]], customers!$A$1:$A$1001, customers!$I$1:$I$1001,, 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INDEX(Product!$A$1:$G$49,MATCH(orders!$D264,Product!$A$1:$A$49,0),MATCH(orders!I$1,Product!$A$1:$G$1,0))</f>
        <v>Exc</v>
      </c>
      <c r="J264" t="str">
        <f>INDEX(Product!$A$1:$G$49,MATCH(orders!$D264,Product!$A$1:$A$49,0),MATCH(orders!J$1,Product!$A$1:$G$1,0))</f>
        <v>M</v>
      </c>
      <c r="K264" s="4">
        <f>INDEX(Product!$A$1:$G$49,MATCH(orders!$D264,Product!$A$1:$A$49,0),MATCH(orders!K$1,Product!$A$1:$G$1,0))</f>
        <v>1</v>
      </c>
      <c r="L264" s="5">
        <f>INDEX(Product!$A$1:$G$49,MATCH(orders!$D264,Product!$A$1:$A$49,0),MATCH(orders!L$1,Product!$A$1:$G$1,0))</f>
        <v>13.75</v>
      </c>
      <c r="M264" s="5">
        <f t="shared" si="4"/>
        <v>41.25</v>
      </c>
      <c r="N264" t="str" cm="1">
        <f t="array" ref="N264">_xlfn.IFS(I264="Rob", "Robusta", I264="Exc", "Excelsa", I264="Ara", "Arabica", I264="Lib", "Liberica", TRUE, "")</f>
        <v>Excelsa</v>
      </c>
      <c r="O264" t="str" cm="1">
        <f t="array" ref="O264">_xlfn.IFS(J264="M", "Medium", J264="L", "Light", J264="D", "Dark", TRUE, "")</f>
        <v>Medium</v>
      </c>
      <c r="P264" t="str">
        <f>_xlfn.XLOOKUP(Table1[[#This Row],[Customer ID]], customers!$A$1:$A$1001, customers!$I$1:$I$1001,, 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INDEX(Product!$A$1:$G$49,MATCH(orders!$D265,Product!$A$1:$A$49,0),MATCH(orders!I$1,Product!$A$1:$G$1,0))</f>
        <v>Lib</v>
      </c>
      <c r="J265" t="str">
        <f>INDEX(Product!$A$1:$G$49,MATCH(orders!$D265,Product!$A$1:$A$49,0),MATCH(orders!J$1,Product!$A$1:$G$1,0))</f>
        <v>M</v>
      </c>
      <c r="K265" s="4">
        <f>INDEX(Product!$A$1:$G$49,MATCH(orders!$D265,Product!$A$1:$A$49,0),MATCH(orders!K$1,Product!$A$1:$G$1,0))</f>
        <v>2.5</v>
      </c>
      <c r="L265" s="5">
        <f>INDEX(Product!$A$1:$G$49,MATCH(orders!$D265,Product!$A$1:$A$49,0),MATCH(orders!L$1,Product!$A$1:$G$1,0))</f>
        <v>33.464999999999996</v>
      </c>
      <c r="M265" s="5">
        <f t="shared" si="4"/>
        <v>133.85999999999999</v>
      </c>
      <c r="N265" t="str" cm="1">
        <f t="array" ref="N265">_xlfn.IFS(I265="Rob", "Robusta", I265="Exc", "Excelsa", I265="Ara", "Arabica", I265="Lib", "Liberica", TRUE, "")</f>
        <v>Liberica</v>
      </c>
      <c r="O265" t="str" cm="1">
        <f t="array" ref="O265">_xlfn.IFS(J265="M", "Medium", J265="L", "Light", J265="D", "Dark", TRUE, "")</f>
        <v>Medium</v>
      </c>
      <c r="P265" t="str">
        <f>_xlfn.XLOOKUP(Table1[[#This Row],[Customer ID]], customers!$A$1:$A$1001, customers!$I$1:$I$1001,, 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INDEX(Product!$A$1:$G$49,MATCH(orders!$D266,Product!$A$1:$A$49,0),MATCH(orders!I$1,Product!$A$1:$G$1,0))</f>
        <v>Rob</v>
      </c>
      <c r="J266" t="str">
        <f>INDEX(Product!$A$1:$G$49,MATCH(orders!$D266,Product!$A$1:$A$49,0),MATCH(orders!J$1,Product!$A$1:$G$1,0))</f>
        <v>L</v>
      </c>
      <c r="K266" s="4">
        <f>INDEX(Product!$A$1:$G$49,MATCH(orders!$D266,Product!$A$1:$A$49,0),MATCH(orders!K$1,Product!$A$1:$G$1,0))</f>
        <v>1</v>
      </c>
      <c r="L266" s="5">
        <f>INDEX(Product!$A$1:$G$49,MATCH(orders!$D266,Product!$A$1:$A$49,0),MATCH(orders!L$1,Product!$A$1:$G$1,0))</f>
        <v>11.95</v>
      </c>
      <c r="M266" s="5">
        <f t="shared" si="4"/>
        <v>59.75</v>
      </c>
      <c r="N266" t="str" cm="1">
        <f t="array" ref="N266">_xlfn.IFS(I266="Rob", "Robusta", I266="Exc", "Excelsa", I266="Ara", "Arabica", I266="Lib", "Liberica", TRUE, "")</f>
        <v>Robusta</v>
      </c>
      <c r="O266" t="str" cm="1">
        <f t="array" ref="O266">_xlfn.IFS(J266="M", "Medium", J266="L", "Light", J266="D", "Dark", TRUE, "")</f>
        <v>Light</v>
      </c>
      <c r="P266" t="str">
        <f>_xlfn.XLOOKUP(Table1[[#This Row],[Customer ID]], customers!$A$1:$A$1001, customers!$I$1:$I$1001,, 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INDEX(Product!$A$1:$G$49,MATCH(orders!$D267,Product!$A$1:$A$49,0),MATCH(orders!I$1,Product!$A$1:$G$1,0))</f>
        <v>Ara</v>
      </c>
      <c r="J267" t="str">
        <f>INDEX(Product!$A$1:$G$49,MATCH(orders!$D267,Product!$A$1:$A$49,0),MATCH(orders!J$1,Product!$A$1:$G$1,0))</f>
        <v>D</v>
      </c>
      <c r="K267" s="4">
        <f>INDEX(Product!$A$1:$G$49,MATCH(orders!$D267,Product!$A$1:$A$49,0),MATCH(orders!K$1,Product!$A$1:$G$1,0))</f>
        <v>0.5</v>
      </c>
      <c r="L267" s="5">
        <f>INDEX(Product!$A$1:$G$49,MATCH(orders!$D267,Product!$A$1:$A$49,0),MATCH(orders!L$1,Product!$A$1:$G$1,0))</f>
        <v>5.97</v>
      </c>
      <c r="M267" s="5">
        <f t="shared" si="4"/>
        <v>5.97</v>
      </c>
      <c r="N267" t="str" cm="1">
        <f t="array" ref="N267">_xlfn.IFS(I267="Rob", "Robusta", I267="Exc", "Excelsa", I267="Ara", "Arabica", I267="Lib", "Liberica", TRUE, "")</f>
        <v>Arabica</v>
      </c>
      <c r="O267" t="str" cm="1">
        <f t="array" ref="O267">_xlfn.IFS(J267="M", "Medium", J267="L", "Light", J267="D", "Dark", TRUE, "")</f>
        <v>Dark</v>
      </c>
      <c r="P267" t="str">
        <f>_xlfn.XLOOKUP(Table1[[#This Row],[Customer ID]], customers!$A$1:$A$1001, customers!$I$1:$I$1001,, 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INDEX(Product!$A$1:$G$49,MATCH(orders!$D268,Product!$A$1:$A$49,0),MATCH(orders!I$1,Product!$A$1:$G$1,0))</f>
        <v>Exc</v>
      </c>
      <c r="J268" t="str">
        <f>INDEX(Product!$A$1:$G$49,MATCH(orders!$D268,Product!$A$1:$A$49,0),MATCH(orders!J$1,Product!$A$1:$G$1,0))</f>
        <v>D</v>
      </c>
      <c r="K268" s="4">
        <f>INDEX(Product!$A$1:$G$49,MATCH(orders!$D268,Product!$A$1:$A$49,0),MATCH(orders!K$1,Product!$A$1:$G$1,0))</f>
        <v>1</v>
      </c>
      <c r="L268" s="5">
        <f>INDEX(Product!$A$1:$G$49,MATCH(orders!$D268,Product!$A$1:$A$49,0),MATCH(orders!L$1,Product!$A$1:$G$1,0))</f>
        <v>12.15</v>
      </c>
      <c r="M268" s="5">
        <f t="shared" si="4"/>
        <v>24.3</v>
      </c>
      <c r="N268" t="str" cm="1">
        <f t="array" ref="N268">_xlfn.IFS(I268="Rob", "Robusta", I268="Exc", "Excelsa", I268="Ara", "Arabica", I268="Lib", "Liberica", TRUE, "")</f>
        <v>Excelsa</v>
      </c>
      <c r="O268" t="str" cm="1">
        <f t="array" ref="O268">_xlfn.IFS(J268="M", "Medium", J268="L", "Light", J268="D", "Dark", TRUE, "")</f>
        <v>Dark</v>
      </c>
      <c r="P268" t="str">
        <f>_xlfn.XLOOKUP(Table1[[#This Row],[Customer ID]], customers!$A$1:$A$1001, customers!$I$1:$I$1001,, 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INDEX(Product!$A$1:$G$49,MATCH(orders!$D269,Product!$A$1:$A$49,0),MATCH(orders!I$1,Product!$A$1:$G$1,0))</f>
        <v>Exc</v>
      </c>
      <c r="J269" t="str">
        <f>INDEX(Product!$A$1:$G$49,MATCH(orders!$D269,Product!$A$1:$A$49,0),MATCH(orders!J$1,Product!$A$1:$G$1,0))</f>
        <v>D</v>
      </c>
      <c r="K269" s="4">
        <f>INDEX(Product!$A$1:$G$49,MATCH(orders!$D269,Product!$A$1:$A$49,0),MATCH(orders!K$1,Product!$A$1:$G$1,0))</f>
        <v>0.2</v>
      </c>
      <c r="L269" s="5">
        <f>INDEX(Product!$A$1:$G$49,MATCH(orders!$D269,Product!$A$1:$A$49,0),MATCH(orders!L$1,Product!$A$1:$G$1,0))</f>
        <v>3.645</v>
      </c>
      <c r="M269" s="5">
        <f t="shared" si="4"/>
        <v>21.87</v>
      </c>
      <c r="N269" t="str" cm="1">
        <f t="array" ref="N269">_xlfn.IFS(I269="Rob", "Robusta", I269="Exc", "Excelsa", I269="Ara", "Arabica", I269="Lib", "Liberica", TRUE, "")</f>
        <v>Excelsa</v>
      </c>
      <c r="O269" t="str" cm="1">
        <f t="array" ref="O269">_xlfn.IFS(J269="M", "Medium", J269="L", "Light", J269="D", "Dark", TRUE, "")</f>
        <v>Dark</v>
      </c>
      <c r="P269" t="str">
        <f>_xlfn.XLOOKUP(Table1[[#This Row],[Customer ID]], customers!$A$1:$A$1001, customers!$I$1:$I$1001,, 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INDEX(Product!$A$1:$G$49,MATCH(orders!$D270,Product!$A$1:$A$49,0),MATCH(orders!I$1,Product!$A$1:$G$1,0))</f>
        <v>Ara</v>
      </c>
      <c r="J270" t="str">
        <f>INDEX(Product!$A$1:$G$49,MATCH(orders!$D270,Product!$A$1:$A$49,0),MATCH(orders!J$1,Product!$A$1:$G$1,0))</f>
        <v>D</v>
      </c>
      <c r="K270" s="4">
        <f>INDEX(Product!$A$1:$G$49,MATCH(orders!$D270,Product!$A$1:$A$49,0),MATCH(orders!K$1,Product!$A$1:$G$1,0))</f>
        <v>1</v>
      </c>
      <c r="L270" s="5">
        <f>INDEX(Product!$A$1:$G$49,MATCH(orders!$D270,Product!$A$1:$A$49,0),MATCH(orders!L$1,Product!$A$1:$G$1,0))</f>
        <v>9.9499999999999993</v>
      </c>
      <c r="M270" s="5">
        <f t="shared" si="4"/>
        <v>19.899999999999999</v>
      </c>
      <c r="N270" t="str" cm="1">
        <f t="array" ref="N270">_xlfn.IFS(I270="Rob", "Robusta", I270="Exc", "Excelsa", I270="Ara", "Arabica", I270="Lib", "Liberica", TRUE, "")</f>
        <v>Arabica</v>
      </c>
      <c r="O270" t="str" cm="1">
        <f t="array" ref="O270">_xlfn.IFS(J270="M", "Medium", J270="L", "Light", J270="D", "Dark", TRUE, "")</f>
        <v>Dark</v>
      </c>
      <c r="P270" t="str">
        <f>_xlfn.XLOOKUP(Table1[[#This Row],[Customer ID]], customers!$A$1:$A$1001, customers!$I$1:$I$1001,, 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INDEX(Product!$A$1:$G$49,MATCH(orders!$D271,Product!$A$1:$A$49,0),MATCH(orders!I$1,Product!$A$1:$G$1,0))</f>
        <v>Ara</v>
      </c>
      <c r="J271" t="str">
        <f>INDEX(Product!$A$1:$G$49,MATCH(orders!$D271,Product!$A$1:$A$49,0),MATCH(orders!J$1,Product!$A$1:$G$1,0))</f>
        <v>D</v>
      </c>
      <c r="K271" s="4">
        <f>INDEX(Product!$A$1:$G$49,MATCH(orders!$D271,Product!$A$1:$A$49,0),MATCH(orders!K$1,Product!$A$1:$G$1,0))</f>
        <v>0.2</v>
      </c>
      <c r="L271" s="5">
        <f>INDEX(Product!$A$1:$G$49,MATCH(orders!$D271,Product!$A$1:$A$49,0),MATCH(orders!L$1,Product!$A$1:$G$1,0))</f>
        <v>2.9849999999999999</v>
      </c>
      <c r="M271" s="5">
        <f t="shared" si="4"/>
        <v>5.97</v>
      </c>
      <c r="N271" t="str" cm="1">
        <f t="array" ref="N271">_xlfn.IFS(I271="Rob", "Robusta", I271="Exc", "Excelsa", I271="Ara", "Arabica", I271="Lib", "Liberica", TRUE, "")</f>
        <v>Arabica</v>
      </c>
      <c r="O271" t="str" cm="1">
        <f t="array" ref="O271">_xlfn.IFS(J271="M", "Medium", J271="L", "Light", J271="D", "Dark", TRUE, "")</f>
        <v>Dark</v>
      </c>
      <c r="P271" t="str">
        <f>_xlfn.XLOOKUP(Table1[[#This Row],[Customer ID]], customers!$A$1:$A$1001, customers!$I$1:$I$1001,, 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INDEX(Product!$A$1:$G$49,MATCH(orders!$D272,Product!$A$1:$A$49,0),MATCH(orders!I$1,Product!$A$1:$G$1,0))</f>
        <v>Exc</v>
      </c>
      <c r="J272" t="str">
        <f>INDEX(Product!$A$1:$G$49,MATCH(orders!$D272,Product!$A$1:$A$49,0),MATCH(orders!J$1,Product!$A$1:$G$1,0))</f>
        <v>D</v>
      </c>
      <c r="K272" s="4">
        <f>INDEX(Product!$A$1:$G$49,MATCH(orders!$D272,Product!$A$1:$A$49,0),MATCH(orders!K$1,Product!$A$1:$G$1,0))</f>
        <v>0.5</v>
      </c>
      <c r="L272" s="5">
        <f>INDEX(Product!$A$1:$G$49,MATCH(orders!$D272,Product!$A$1:$A$49,0),MATCH(orders!L$1,Product!$A$1:$G$1,0))</f>
        <v>7.29</v>
      </c>
      <c r="M272" s="5">
        <f t="shared" si="4"/>
        <v>7.29</v>
      </c>
      <c r="N272" t="str" cm="1">
        <f t="array" ref="N272">_xlfn.IFS(I272="Rob", "Robusta", I272="Exc", "Excelsa", I272="Ara", "Arabica", I272="Lib", "Liberica", TRUE, "")</f>
        <v>Excelsa</v>
      </c>
      <c r="O272" t="str" cm="1">
        <f t="array" ref="O272">_xlfn.IFS(J272="M", "Medium", J272="L", "Light", J272="D", "Dark", TRUE, "")</f>
        <v>Dark</v>
      </c>
      <c r="P272" t="str">
        <f>_xlfn.XLOOKUP(Table1[[#This Row],[Customer ID]], customers!$A$1:$A$1001, customers!$I$1:$I$1001,, 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INDEX(Product!$A$1:$G$49,MATCH(orders!$D273,Product!$A$1:$A$49,0),MATCH(orders!I$1,Product!$A$1:$G$1,0))</f>
        <v>Ara</v>
      </c>
      <c r="J273" t="str">
        <f>INDEX(Product!$A$1:$G$49,MATCH(orders!$D273,Product!$A$1:$A$49,0),MATCH(orders!J$1,Product!$A$1:$G$1,0))</f>
        <v>D</v>
      </c>
      <c r="K273" s="4">
        <f>INDEX(Product!$A$1:$G$49,MATCH(orders!$D273,Product!$A$1:$A$49,0),MATCH(orders!K$1,Product!$A$1:$G$1,0))</f>
        <v>0.2</v>
      </c>
      <c r="L273" s="5">
        <f>INDEX(Product!$A$1:$G$49,MATCH(orders!$D273,Product!$A$1:$A$49,0),MATCH(orders!L$1,Product!$A$1:$G$1,0))</f>
        <v>2.9849999999999999</v>
      </c>
      <c r="M273" s="5">
        <f t="shared" si="4"/>
        <v>11.94</v>
      </c>
      <c r="N273" t="str" cm="1">
        <f t="array" ref="N273">_xlfn.IFS(I273="Rob", "Robusta", I273="Exc", "Excelsa", I273="Ara", "Arabica", I273="Lib", "Liberica", TRUE, "")</f>
        <v>Arabica</v>
      </c>
      <c r="O273" t="str" cm="1">
        <f t="array" ref="O273">_xlfn.IFS(J273="M", "Medium", J273="L", "Light", J273="D", "Dark", TRUE, "")</f>
        <v>Dark</v>
      </c>
      <c r="P273" t="str">
        <f>_xlfn.XLOOKUP(Table1[[#This Row],[Customer ID]], customers!$A$1:$A$1001, customers!$I$1:$I$1001,, 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INDEX(Product!$A$1:$G$49,MATCH(orders!$D274,Product!$A$1:$A$49,0),MATCH(orders!I$1,Product!$A$1:$G$1,0))</f>
        <v>Rob</v>
      </c>
      <c r="J274" t="str">
        <f>INDEX(Product!$A$1:$G$49,MATCH(orders!$D274,Product!$A$1:$A$49,0),MATCH(orders!J$1,Product!$A$1:$G$1,0))</f>
        <v>L</v>
      </c>
      <c r="K274" s="4">
        <f>INDEX(Product!$A$1:$G$49,MATCH(orders!$D274,Product!$A$1:$A$49,0),MATCH(orders!K$1,Product!$A$1:$G$1,0))</f>
        <v>1</v>
      </c>
      <c r="L274" s="5">
        <f>INDEX(Product!$A$1:$G$49,MATCH(orders!$D274,Product!$A$1:$A$49,0),MATCH(orders!L$1,Product!$A$1:$G$1,0))</f>
        <v>11.95</v>
      </c>
      <c r="M274" s="5">
        <f t="shared" si="4"/>
        <v>71.699999999999989</v>
      </c>
      <c r="N274" t="str" cm="1">
        <f t="array" ref="N274">_xlfn.IFS(I274="Rob", "Robusta", I274="Exc", "Excelsa", I274="Ara", "Arabica", I274="Lib", "Liberica", TRUE, "")</f>
        <v>Robusta</v>
      </c>
      <c r="O274" t="str" cm="1">
        <f t="array" ref="O274">_xlfn.IFS(J274="M", "Medium", J274="L", "Light", J274="D", "Dark", TRUE, "")</f>
        <v>Light</v>
      </c>
      <c r="P274" t="str">
        <f>_xlfn.XLOOKUP(Table1[[#This Row],[Customer ID]], customers!$A$1:$A$1001, customers!$I$1:$I$1001,, 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INDEX(Product!$A$1:$G$49,MATCH(orders!$D275,Product!$A$1:$A$49,0),MATCH(orders!I$1,Product!$A$1:$G$1,0))</f>
        <v>Ara</v>
      </c>
      <c r="J275" t="str">
        <f>INDEX(Product!$A$1:$G$49,MATCH(orders!$D275,Product!$A$1:$A$49,0),MATCH(orders!J$1,Product!$A$1:$G$1,0))</f>
        <v>L</v>
      </c>
      <c r="K275" s="4">
        <f>INDEX(Product!$A$1:$G$49,MATCH(orders!$D275,Product!$A$1:$A$49,0),MATCH(orders!K$1,Product!$A$1:$G$1,0))</f>
        <v>0.2</v>
      </c>
      <c r="L275" s="5">
        <f>INDEX(Product!$A$1:$G$49,MATCH(orders!$D275,Product!$A$1:$A$49,0),MATCH(orders!L$1,Product!$A$1:$G$1,0))</f>
        <v>3.8849999999999998</v>
      </c>
      <c r="M275" s="5">
        <f t="shared" si="4"/>
        <v>7.77</v>
      </c>
      <c r="N275" t="str" cm="1">
        <f t="array" ref="N275">_xlfn.IFS(I275="Rob", "Robusta", I275="Exc", "Excelsa", I275="Ara", "Arabica", I275="Lib", "Liberica", TRUE, "")</f>
        <v>Arabica</v>
      </c>
      <c r="O275" t="str" cm="1">
        <f t="array" ref="O275">_xlfn.IFS(J275="M", "Medium", J275="L", "Light", J275="D", "Dark", TRUE, "")</f>
        <v>Light</v>
      </c>
      <c r="P275" t="str">
        <f>_xlfn.XLOOKUP(Table1[[#This Row],[Customer ID]], customers!$A$1:$A$1001, customers!$I$1:$I$1001,, 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INDEX(Product!$A$1:$G$49,MATCH(orders!$D276,Product!$A$1:$A$49,0),MATCH(orders!I$1,Product!$A$1:$G$1,0))</f>
        <v>Ara</v>
      </c>
      <c r="J276" t="str">
        <f>INDEX(Product!$A$1:$G$49,MATCH(orders!$D276,Product!$A$1:$A$49,0),MATCH(orders!J$1,Product!$A$1:$G$1,0))</f>
        <v>M</v>
      </c>
      <c r="K276" s="4">
        <f>INDEX(Product!$A$1:$G$49,MATCH(orders!$D276,Product!$A$1:$A$49,0),MATCH(orders!K$1,Product!$A$1:$G$1,0))</f>
        <v>2.5</v>
      </c>
      <c r="L276" s="5">
        <f>INDEX(Product!$A$1:$G$49,MATCH(orders!$D276,Product!$A$1:$A$49,0),MATCH(orders!L$1,Product!$A$1:$G$1,0))</f>
        <v>25.874999999999996</v>
      </c>
      <c r="M276" s="5">
        <f t="shared" si="4"/>
        <v>25.874999999999996</v>
      </c>
      <c r="N276" t="str" cm="1">
        <f t="array" ref="N276">_xlfn.IFS(I276="Rob", "Robusta", I276="Exc", "Excelsa", I276="Ara", "Arabica", I276="Lib", "Liberica", TRUE, "")</f>
        <v>Arabica</v>
      </c>
      <c r="O276" t="str" cm="1">
        <f t="array" ref="O276">_xlfn.IFS(J276="M", "Medium", J276="L", "Light", J276="D", "Dark", TRUE, "")</f>
        <v>Medium</v>
      </c>
      <c r="P276" t="str">
        <f>_xlfn.XLOOKUP(Table1[[#This Row],[Customer ID]], customers!$A$1:$A$1001, customers!$I$1:$I$1001,, 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INDEX(Product!$A$1:$G$49,MATCH(orders!$D277,Product!$A$1:$A$49,0),MATCH(orders!I$1,Product!$A$1:$G$1,0))</f>
        <v>Exc</v>
      </c>
      <c r="J277" t="str">
        <f>INDEX(Product!$A$1:$G$49,MATCH(orders!$D277,Product!$A$1:$A$49,0),MATCH(orders!J$1,Product!$A$1:$G$1,0))</f>
        <v>L</v>
      </c>
      <c r="K277" s="4">
        <f>INDEX(Product!$A$1:$G$49,MATCH(orders!$D277,Product!$A$1:$A$49,0),MATCH(orders!K$1,Product!$A$1:$G$1,0))</f>
        <v>2.5</v>
      </c>
      <c r="L277" s="5">
        <f>INDEX(Product!$A$1:$G$49,MATCH(orders!$D277,Product!$A$1:$A$49,0),MATCH(orders!L$1,Product!$A$1:$G$1,0))</f>
        <v>34.154999999999994</v>
      </c>
      <c r="M277" s="5">
        <f t="shared" si="4"/>
        <v>204.92999999999995</v>
      </c>
      <c r="N277" t="str" cm="1">
        <f t="array" ref="N277">_xlfn.IFS(I277="Rob", "Robusta", I277="Exc", "Excelsa", I277="Ara", "Arabica", I277="Lib", "Liberica", TRUE, "")</f>
        <v>Excelsa</v>
      </c>
      <c r="O277" t="str" cm="1">
        <f t="array" ref="O277">_xlfn.IFS(J277="M", "Medium", J277="L", "Light", J277="D", "Dark", TRUE, "")</f>
        <v>Light</v>
      </c>
      <c r="P277" t="str">
        <f>_xlfn.XLOOKUP(Table1[[#This Row],[Customer ID]], customers!$A$1:$A$1001, customers!$I$1:$I$1001,, 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INDEX(Product!$A$1:$G$49,MATCH(orders!$D278,Product!$A$1:$A$49,0),MATCH(orders!I$1,Product!$A$1:$G$1,0))</f>
        <v>Rob</v>
      </c>
      <c r="J278" t="str">
        <f>INDEX(Product!$A$1:$G$49,MATCH(orders!$D278,Product!$A$1:$A$49,0),MATCH(orders!J$1,Product!$A$1:$G$1,0))</f>
        <v>L</v>
      </c>
      <c r="K278" s="4">
        <f>INDEX(Product!$A$1:$G$49,MATCH(orders!$D278,Product!$A$1:$A$49,0),MATCH(orders!K$1,Product!$A$1:$G$1,0))</f>
        <v>2.5</v>
      </c>
      <c r="L278" s="5">
        <f>INDEX(Product!$A$1:$G$49,MATCH(orders!$D278,Product!$A$1:$A$49,0),MATCH(orders!L$1,Product!$A$1:$G$1,0))</f>
        <v>27.484999999999996</v>
      </c>
      <c r="M278" s="5">
        <f t="shared" si="4"/>
        <v>109.93999999999998</v>
      </c>
      <c r="N278" t="str" cm="1">
        <f t="array" ref="N278">_xlfn.IFS(I278="Rob", "Robusta", I278="Exc", "Excelsa", I278="Ara", "Arabica", I278="Lib", "Liberica", TRUE, "")</f>
        <v>Robusta</v>
      </c>
      <c r="O278" t="str" cm="1">
        <f t="array" ref="O278">_xlfn.IFS(J278="M", "Medium", J278="L", "Light", J278="D", "Dark", TRUE, "")</f>
        <v>Light</v>
      </c>
      <c r="P278" t="str">
        <f>_xlfn.XLOOKUP(Table1[[#This Row],[Customer ID]], customers!$A$1:$A$1001, customers!$I$1:$I$1001,, 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INDEX(Product!$A$1:$G$49,MATCH(orders!$D279,Product!$A$1:$A$49,0),MATCH(orders!I$1,Product!$A$1:$G$1,0))</f>
        <v>Exc</v>
      </c>
      <c r="J279" t="str">
        <f>INDEX(Product!$A$1:$G$49,MATCH(orders!$D279,Product!$A$1:$A$49,0),MATCH(orders!J$1,Product!$A$1:$G$1,0))</f>
        <v>L</v>
      </c>
      <c r="K279" s="4">
        <f>INDEX(Product!$A$1:$G$49,MATCH(orders!$D279,Product!$A$1:$A$49,0),MATCH(orders!K$1,Product!$A$1:$G$1,0))</f>
        <v>1</v>
      </c>
      <c r="L279" s="5">
        <f>INDEX(Product!$A$1:$G$49,MATCH(orders!$D279,Product!$A$1:$A$49,0),MATCH(orders!L$1,Product!$A$1:$G$1,0))</f>
        <v>14.85</v>
      </c>
      <c r="M279" s="5">
        <f t="shared" si="4"/>
        <v>89.1</v>
      </c>
      <c r="N279" t="str" cm="1">
        <f t="array" ref="N279">_xlfn.IFS(I279="Rob", "Robusta", I279="Exc", "Excelsa", I279="Ara", "Arabica", I279="Lib", "Liberica", TRUE, "")</f>
        <v>Excelsa</v>
      </c>
      <c r="O279" t="str" cm="1">
        <f t="array" ref="O279">_xlfn.IFS(J279="M", "Medium", J279="L", "Light", J279="D", "Dark", TRUE, "")</f>
        <v>Light</v>
      </c>
      <c r="P279" t="str">
        <f>_xlfn.XLOOKUP(Table1[[#This Row],[Customer ID]], customers!$A$1:$A$1001, customers!$I$1:$I$1001,, 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INDEX(Product!$A$1:$G$49,MATCH(orders!$D280,Product!$A$1:$A$49,0),MATCH(orders!I$1,Product!$A$1:$G$1,0))</f>
        <v>Ara</v>
      </c>
      <c r="J280" t="str">
        <f>INDEX(Product!$A$1:$G$49,MATCH(orders!$D280,Product!$A$1:$A$49,0),MATCH(orders!J$1,Product!$A$1:$G$1,0))</f>
        <v>L</v>
      </c>
      <c r="K280" s="4">
        <f>INDEX(Product!$A$1:$G$49,MATCH(orders!$D280,Product!$A$1:$A$49,0),MATCH(orders!K$1,Product!$A$1:$G$1,0))</f>
        <v>0.2</v>
      </c>
      <c r="L280" s="5">
        <f>INDEX(Product!$A$1:$G$49,MATCH(orders!$D280,Product!$A$1:$A$49,0),MATCH(orders!L$1,Product!$A$1:$G$1,0))</f>
        <v>3.8849999999999998</v>
      </c>
      <c r="M280" s="5">
        <f t="shared" si="4"/>
        <v>7.77</v>
      </c>
      <c r="N280" t="str" cm="1">
        <f t="array" ref="N280">_xlfn.IFS(I280="Rob", "Robusta", I280="Exc", "Excelsa", I280="Ara", "Arabica", I280="Lib", "Liberica", TRUE, "")</f>
        <v>Arabica</v>
      </c>
      <c r="O280" t="str" cm="1">
        <f t="array" ref="O280">_xlfn.IFS(J280="M", "Medium", J280="L", "Light", J280="D", "Dark", TRUE, "")</f>
        <v>Light</v>
      </c>
      <c r="P280" t="str">
        <f>_xlfn.XLOOKUP(Table1[[#This Row],[Customer ID]], customers!$A$1:$A$1001, customers!$I$1:$I$1001,, 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INDEX(Product!$A$1:$G$49,MATCH(orders!$D281,Product!$A$1:$A$49,0),MATCH(orders!I$1,Product!$A$1:$G$1,0))</f>
        <v>Lib</v>
      </c>
      <c r="J281" t="str">
        <f>INDEX(Product!$A$1:$G$49,MATCH(orders!$D281,Product!$A$1:$A$49,0),MATCH(orders!J$1,Product!$A$1:$G$1,0))</f>
        <v>M</v>
      </c>
      <c r="K281" s="4">
        <f>INDEX(Product!$A$1:$G$49,MATCH(orders!$D281,Product!$A$1:$A$49,0),MATCH(orders!K$1,Product!$A$1:$G$1,0))</f>
        <v>2.5</v>
      </c>
      <c r="L281" s="5">
        <f>INDEX(Product!$A$1:$G$49,MATCH(orders!$D281,Product!$A$1:$A$49,0),MATCH(orders!L$1,Product!$A$1:$G$1,0))</f>
        <v>33.464999999999996</v>
      </c>
      <c r="M281" s="5">
        <f t="shared" si="4"/>
        <v>33.464999999999996</v>
      </c>
      <c r="N281" t="str" cm="1">
        <f t="array" ref="N281">_xlfn.IFS(I281="Rob", "Robusta", I281="Exc", "Excelsa", I281="Ara", "Arabica", I281="Lib", "Liberica", TRUE, "")</f>
        <v>Liberica</v>
      </c>
      <c r="O281" t="str" cm="1">
        <f t="array" ref="O281">_xlfn.IFS(J281="M", "Medium", J281="L", "Light", J281="D", "Dark", TRUE, "")</f>
        <v>Medium</v>
      </c>
      <c r="P281" t="str">
        <f>_xlfn.XLOOKUP(Table1[[#This Row],[Customer ID]], customers!$A$1:$A$1001, customers!$I$1:$I$1001,, 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INDEX(Product!$A$1:$G$49,MATCH(orders!$D282,Product!$A$1:$A$49,0),MATCH(orders!I$1,Product!$A$1:$G$1,0))</f>
        <v>Exc</v>
      </c>
      <c r="J282" t="str">
        <f>INDEX(Product!$A$1:$G$49,MATCH(orders!$D282,Product!$A$1:$A$49,0),MATCH(orders!J$1,Product!$A$1:$G$1,0))</f>
        <v>M</v>
      </c>
      <c r="K282" s="4">
        <f>INDEX(Product!$A$1:$G$49,MATCH(orders!$D282,Product!$A$1:$A$49,0),MATCH(orders!K$1,Product!$A$1:$G$1,0))</f>
        <v>0.5</v>
      </c>
      <c r="L282" s="5">
        <f>INDEX(Product!$A$1:$G$49,MATCH(orders!$D282,Product!$A$1:$A$49,0),MATCH(orders!L$1,Product!$A$1:$G$1,0))</f>
        <v>8.25</v>
      </c>
      <c r="M282" s="5">
        <f t="shared" si="4"/>
        <v>41.25</v>
      </c>
      <c r="N282" t="str" cm="1">
        <f t="array" ref="N282">_xlfn.IFS(I282="Rob", "Robusta", I282="Exc", "Excelsa", I282="Ara", "Arabica", I282="Lib", "Liberica", TRUE, "")</f>
        <v>Excelsa</v>
      </c>
      <c r="O282" t="str" cm="1">
        <f t="array" ref="O282">_xlfn.IFS(J282="M", "Medium", J282="L", "Light", J282="D", "Dark", TRUE, "")</f>
        <v>Medium</v>
      </c>
      <c r="P282" t="str">
        <f>_xlfn.XLOOKUP(Table1[[#This Row],[Customer ID]], customers!$A$1:$A$1001, customers!$I$1:$I$1001,, 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INDEX(Product!$A$1:$G$49,MATCH(orders!$D283,Product!$A$1:$A$49,0),MATCH(orders!I$1,Product!$A$1:$G$1,0))</f>
        <v>Exc</v>
      </c>
      <c r="J283" t="str">
        <f>INDEX(Product!$A$1:$G$49,MATCH(orders!$D283,Product!$A$1:$A$49,0),MATCH(orders!J$1,Product!$A$1:$G$1,0))</f>
        <v>L</v>
      </c>
      <c r="K283" s="4">
        <f>INDEX(Product!$A$1:$G$49,MATCH(orders!$D283,Product!$A$1:$A$49,0),MATCH(orders!K$1,Product!$A$1:$G$1,0))</f>
        <v>1</v>
      </c>
      <c r="L283" s="5">
        <f>INDEX(Product!$A$1:$G$49,MATCH(orders!$D283,Product!$A$1:$A$49,0),MATCH(orders!L$1,Product!$A$1:$G$1,0))</f>
        <v>14.85</v>
      </c>
      <c r="M283" s="5">
        <f t="shared" si="4"/>
        <v>59.4</v>
      </c>
      <c r="N283" t="str" cm="1">
        <f t="array" ref="N283">_xlfn.IFS(I283="Rob", "Robusta", I283="Exc", "Excelsa", I283="Ara", "Arabica", I283="Lib", "Liberica", TRUE, "")</f>
        <v>Excelsa</v>
      </c>
      <c r="O283" t="str" cm="1">
        <f t="array" ref="O283">_xlfn.IFS(J283="M", "Medium", J283="L", "Light", J283="D", "Dark", TRUE, "")</f>
        <v>Light</v>
      </c>
      <c r="P283" t="str">
        <f>_xlfn.XLOOKUP(Table1[[#This Row],[Customer ID]], customers!$A$1:$A$1001, customers!$I$1:$I$1001,, 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INDEX(Product!$A$1:$G$49,MATCH(orders!$D284,Product!$A$1:$A$49,0),MATCH(orders!I$1,Product!$A$1:$G$1,0))</f>
        <v>Ara</v>
      </c>
      <c r="J284" t="str">
        <f>INDEX(Product!$A$1:$G$49,MATCH(orders!$D284,Product!$A$1:$A$49,0),MATCH(orders!J$1,Product!$A$1:$G$1,0))</f>
        <v>L</v>
      </c>
      <c r="K284" s="4">
        <f>INDEX(Product!$A$1:$G$49,MATCH(orders!$D284,Product!$A$1:$A$49,0),MATCH(orders!K$1,Product!$A$1:$G$1,0))</f>
        <v>0.5</v>
      </c>
      <c r="L284" s="5">
        <f>INDEX(Product!$A$1:$G$49,MATCH(orders!$D284,Product!$A$1:$A$49,0),MATCH(orders!L$1,Product!$A$1:$G$1,0))</f>
        <v>7.77</v>
      </c>
      <c r="M284" s="5">
        <f t="shared" si="4"/>
        <v>7.77</v>
      </c>
      <c r="N284" t="str" cm="1">
        <f t="array" ref="N284">_xlfn.IFS(I284="Rob", "Robusta", I284="Exc", "Excelsa", I284="Ara", "Arabica", I284="Lib", "Liberica", TRUE, "")</f>
        <v>Arabica</v>
      </c>
      <c r="O284" t="str" cm="1">
        <f t="array" ref="O284">_xlfn.IFS(J284="M", "Medium", J284="L", "Light", J284="D", "Dark", TRUE, "")</f>
        <v>Light</v>
      </c>
      <c r="P284" t="str">
        <f>_xlfn.XLOOKUP(Table1[[#This Row],[Customer ID]], customers!$A$1:$A$1001, customers!$I$1:$I$1001,, 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INDEX(Product!$A$1:$G$49,MATCH(orders!$D285,Product!$A$1:$A$49,0),MATCH(orders!I$1,Product!$A$1:$G$1,0))</f>
        <v>Rob</v>
      </c>
      <c r="J285" t="str">
        <f>INDEX(Product!$A$1:$G$49,MATCH(orders!$D285,Product!$A$1:$A$49,0),MATCH(orders!J$1,Product!$A$1:$G$1,0))</f>
        <v>D</v>
      </c>
      <c r="K285" s="4">
        <f>INDEX(Product!$A$1:$G$49,MATCH(orders!$D285,Product!$A$1:$A$49,0),MATCH(orders!K$1,Product!$A$1:$G$1,0))</f>
        <v>0.5</v>
      </c>
      <c r="L285" s="5">
        <f>INDEX(Product!$A$1:$G$49,MATCH(orders!$D285,Product!$A$1:$A$49,0),MATCH(orders!L$1,Product!$A$1:$G$1,0))</f>
        <v>5.3699999999999992</v>
      </c>
      <c r="M285" s="5">
        <f t="shared" si="4"/>
        <v>5.3699999999999992</v>
      </c>
      <c r="N285" t="str" cm="1">
        <f t="array" ref="N285">_xlfn.IFS(I285="Rob", "Robusta", I285="Exc", "Excelsa", I285="Ara", "Arabica", I285="Lib", "Liberica", TRUE, "")</f>
        <v>Robusta</v>
      </c>
      <c r="O285" t="str" cm="1">
        <f t="array" ref="O285">_xlfn.IFS(J285="M", "Medium", J285="L", "Light", J285="D", "Dark", TRUE, "")</f>
        <v>Dark</v>
      </c>
      <c r="P285" t="str">
        <f>_xlfn.XLOOKUP(Table1[[#This Row],[Customer ID]], customers!$A$1:$A$1001, customers!$I$1:$I$1001,, 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INDEX(Product!$A$1:$G$49,MATCH(orders!$D286,Product!$A$1:$A$49,0),MATCH(orders!I$1,Product!$A$1:$G$1,0))</f>
        <v>Exc</v>
      </c>
      <c r="J286" t="str">
        <f>INDEX(Product!$A$1:$G$49,MATCH(orders!$D286,Product!$A$1:$A$49,0),MATCH(orders!J$1,Product!$A$1:$G$1,0))</f>
        <v>M</v>
      </c>
      <c r="K286" s="4">
        <f>INDEX(Product!$A$1:$G$49,MATCH(orders!$D286,Product!$A$1:$A$49,0),MATCH(orders!K$1,Product!$A$1:$G$1,0))</f>
        <v>2.5</v>
      </c>
      <c r="L286" s="5">
        <f>INDEX(Product!$A$1:$G$49,MATCH(orders!$D286,Product!$A$1:$A$49,0),MATCH(orders!L$1,Product!$A$1:$G$1,0))</f>
        <v>31.624999999999996</v>
      </c>
      <c r="M286" s="5">
        <f t="shared" si="4"/>
        <v>94.874999999999986</v>
      </c>
      <c r="N286" t="str" cm="1">
        <f t="array" ref="N286">_xlfn.IFS(I286="Rob", "Robusta", I286="Exc", "Excelsa", I286="Ara", "Arabica", I286="Lib", "Liberica", TRUE, "")</f>
        <v>Excelsa</v>
      </c>
      <c r="O286" t="str" cm="1">
        <f t="array" ref="O286">_xlfn.IFS(J286="M", "Medium", J286="L", "Light", J286="D", "Dark", TRUE, "")</f>
        <v>Medium</v>
      </c>
      <c r="P286" t="str">
        <f>_xlfn.XLOOKUP(Table1[[#This Row],[Customer ID]], customers!$A$1:$A$1001, customers!$I$1:$I$1001,, 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INDEX(Product!$A$1:$G$49,MATCH(orders!$D287,Product!$A$1:$A$49,0),MATCH(orders!I$1,Product!$A$1:$G$1,0))</f>
        <v>Lib</v>
      </c>
      <c r="J287" t="str">
        <f>INDEX(Product!$A$1:$G$49,MATCH(orders!$D287,Product!$A$1:$A$49,0),MATCH(orders!J$1,Product!$A$1:$G$1,0))</f>
        <v>L</v>
      </c>
      <c r="K287" s="4">
        <f>INDEX(Product!$A$1:$G$49,MATCH(orders!$D287,Product!$A$1:$A$49,0),MATCH(orders!K$1,Product!$A$1:$G$1,0))</f>
        <v>2.5</v>
      </c>
      <c r="L287" s="5">
        <f>INDEX(Product!$A$1:$G$49,MATCH(orders!$D287,Product!$A$1:$A$49,0),MATCH(orders!L$1,Product!$A$1:$G$1,0))</f>
        <v>36.454999999999998</v>
      </c>
      <c r="M287" s="5">
        <f t="shared" si="4"/>
        <v>36.454999999999998</v>
      </c>
      <c r="N287" t="str" cm="1">
        <f t="array" ref="N287">_xlfn.IFS(I287="Rob", "Robusta", I287="Exc", "Excelsa", I287="Ara", "Arabica", I287="Lib", "Liberica", TRUE, "")</f>
        <v>Liberica</v>
      </c>
      <c r="O287" t="str" cm="1">
        <f t="array" ref="O287">_xlfn.IFS(J287="M", "Medium", J287="L", "Light", J287="D", "Dark", TRUE, "")</f>
        <v>Light</v>
      </c>
      <c r="P287" t="str">
        <f>_xlfn.XLOOKUP(Table1[[#This Row],[Customer ID]], customers!$A$1:$A$1001, customers!$I$1:$I$1001,, 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INDEX(Product!$A$1:$G$49,MATCH(orders!$D288,Product!$A$1:$A$49,0),MATCH(orders!I$1,Product!$A$1:$G$1,0))</f>
        <v>Ara</v>
      </c>
      <c r="J288" t="str">
        <f>INDEX(Product!$A$1:$G$49,MATCH(orders!$D288,Product!$A$1:$A$49,0),MATCH(orders!J$1,Product!$A$1:$G$1,0))</f>
        <v>M</v>
      </c>
      <c r="K288" s="4">
        <f>INDEX(Product!$A$1:$G$49,MATCH(orders!$D288,Product!$A$1:$A$49,0),MATCH(orders!K$1,Product!$A$1:$G$1,0))</f>
        <v>0.2</v>
      </c>
      <c r="L288" s="5">
        <f>INDEX(Product!$A$1:$G$49,MATCH(orders!$D288,Product!$A$1:$A$49,0),MATCH(orders!L$1,Product!$A$1:$G$1,0))</f>
        <v>3.375</v>
      </c>
      <c r="M288" s="5">
        <f t="shared" si="4"/>
        <v>13.5</v>
      </c>
      <c r="N288" t="str" cm="1">
        <f t="array" ref="N288">_xlfn.IFS(I288="Rob", "Robusta", I288="Exc", "Excelsa", I288="Ara", "Arabica", I288="Lib", "Liberica", TRUE, "")</f>
        <v>Arabica</v>
      </c>
      <c r="O288" t="str" cm="1">
        <f t="array" ref="O288">_xlfn.IFS(J288="M", "Medium", J288="L", "Light", J288="D", "Dark", TRUE, "")</f>
        <v>Medium</v>
      </c>
      <c r="P288" t="str">
        <f>_xlfn.XLOOKUP(Table1[[#This Row],[Customer ID]], customers!$A$1:$A$1001, customers!$I$1:$I$1001,, 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INDEX(Product!$A$1:$G$49,MATCH(orders!$D289,Product!$A$1:$A$49,0),MATCH(orders!I$1,Product!$A$1:$G$1,0))</f>
        <v>Rob</v>
      </c>
      <c r="J289" t="str">
        <f>INDEX(Product!$A$1:$G$49,MATCH(orders!$D289,Product!$A$1:$A$49,0),MATCH(orders!J$1,Product!$A$1:$G$1,0))</f>
        <v>L</v>
      </c>
      <c r="K289" s="4">
        <f>INDEX(Product!$A$1:$G$49,MATCH(orders!$D289,Product!$A$1:$A$49,0),MATCH(orders!K$1,Product!$A$1:$G$1,0))</f>
        <v>0.2</v>
      </c>
      <c r="L289" s="5">
        <f>INDEX(Product!$A$1:$G$49,MATCH(orders!$D289,Product!$A$1:$A$49,0),MATCH(orders!L$1,Product!$A$1:$G$1,0))</f>
        <v>3.5849999999999995</v>
      </c>
      <c r="M289" s="5">
        <f t="shared" si="4"/>
        <v>14.339999999999998</v>
      </c>
      <c r="N289" t="str" cm="1">
        <f t="array" ref="N289">_xlfn.IFS(I289="Rob", "Robusta", I289="Exc", "Excelsa", I289="Ara", "Arabica", I289="Lib", "Liberica", TRUE, "")</f>
        <v>Robusta</v>
      </c>
      <c r="O289" t="str" cm="1">
        <f t="array" ref="O289">_xlfn.IFS(J289="M", "Medium", J289="L", "Light", J289="D", "Dark", TRUE, "")</f>
        <v>Light</v>
      </c>
      <c r="P289" t="str">
        <f>_xlfn.XLOOKUP(Table1[[#This Row],[Customer ID]], customers!$A$1:$A$1001, customers!$I$1:$I$1001,, 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INDEX(Product!$A$1:$G$49,MATCH(orders!$D290,Product!$A$1:$A$49,0),MATCH(orders!I$1,Product!$A$1:$G$1,0))</f>
        <v>Exc</v>
      </c>
      <c r="J290" t="str">
        <f>INDEX(Product!$A$1:$G$49,MATCH(orders!$D290,Product!$A$1:$A$49,0),MATCH(orders!J$1,Product!$A$1:$G$1,0))</f>
        <v>M</v>
      </c>
      <c r="K290" s="4">
        <f>INDEX(Product!$A$1:$G$49,MATCH(orders!$D290,Product!$A$1:$A$49,0),MATCH(orders!K$1,Product!$A$1:$G$1,0))</f>
        <v>0.5</v>
      </c>
      <c r="L290" s="5">
        <f>INDEX(Product!$A$1:$G$49,MATCH(orders!$D290,Product!$A$1:$A$49,0),MATCH(orders!L$1,Product!$A$1:$G$1,0))</f>
        <v>8.25</v>
      </c>
      <c r="M290" s="5">
        <f t="shared" si="4"/>
        <v>8.25</v>
      </c>
      <c r="N290" t="str" cm="1">
        <f t="array" ref="N290">_xlfn.IFS(I290="Rob", "Robusta", I290="Exc", "Excelsa", I290="Ara", "Arabica", I290="Lib", "Liberica", TRUE, "")</f>
        <v>Excelsa</v>
      </c>
      <c r="O290" t="str" cm="1">
        <f t="array" ref="O290">_xlfn.IFS(J290="M", "Medium", J290="L", "Light", J290="D", "Dark", TRUE, "")</f>
        <v>Medium</v>
      </c>
      <c r="P290" t="str">
        <f>_xlfn.XLOOKUP(Table1[[#This Row],[Customer ID]], customers!$A$1:$A$1001, customers!$I$1:$I$1001,, 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INDEX(Product!$A$1:$G$49,MATCH(orders!$D291,Product!$A$1:$A$49,0),MATCH(orders!I$1,Product!$A$1:$G$1,0))</f>
        <v>Rob</v>
      </c>
      <c r="J291" t="str">
        <f>INDEX(Product!$A$1:$G$49,MATCH(orders!$D291,Product!$A$1:$A$49,0),MATCH(orders!J$1,Product!$A$1:$G$1,0))</f>
        <v>D</v>
      </c>
      <c r="K291" s="4">
        <f>INDEX(Product!$A$1:$G$49,MATCH(orders!$D291,Product!$A$1:$A$49,0),MATCH(orders!K$1,Product!$A$1:$G$1,0))</f>
        <v>0.2</v>
      </c>
      <c r="L291" s="5">
        <f>INDEX(Product!$A$1:$G$49,MATCH(orders!$D291,Product!$A$1:$A$49,0),MATCH(orders!L$1,Product!$A$1:$G$1,0))</f>
        <v>2.6849999999999996</v>
      </c>
      <c r="M291" s="5">
        <f t="shared" si="4"/>
        <v>13.424999999999997</v>
      </c>
      <c r="N291" t="str" cm="1">
        <f t="array" ref="N291">_xlfn.IFS(I291="Rob", "Robusta", I291="Exc", "Excelsa", I291="Ara", "Arabica", I291="Lib", "Liberica", TRUE, "")</f>
        <v>Robusta</v>
      </c>
      <c r="O291" t="str" cm="1">
        <f t="array" ref="O291">_xlfn.IFS(J291="M", "Medium", J291="L", "Light", J291="D", "Dark", TRUE, "")</f>
        <v>Dark</v>
      </c>
      <c r="P291" t="str">
        <f>_xlfn.XLOOKUP(Table1[[#This Row],[Customer ID]], customers!$A$1:$A$1001, customers!$I$1:$I$1001,, 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INDEX(Product!$A$1:$G$49,MATCH(orders!$D292,Product!$A$1:$A$49,0),MATCH(orders!I$1,Product!$A$1:$G$1,0))</f>
        <v>Ara</v>
      </c>
      <c r="J292" t="str">
        <f>INDEX(Product!$A$1:$G$49,MATCH(orders!$D292,Product!$A$1:$A$49,0),MATCH(orders!J$1,Product!$A$1:$G$1,0))</f>
        <v>D</v>
      </c>
      <c r="K292" s="4">
        <f>INDEX(Product!$A$1:$G$49,MATCH(orders!$D292,Product!$A$1:$A$49,0),MATCH(orders!K$1,Product!$A$1:$G$1,0))</f>
        <v>1</v>
      </c>
      <c r="L292" s="5">
        <f>INDEX(Product!$A$1:$G$49,MATCH(orders!$D292,Product!$A$1:$A$49,0),MATCH(orders!L$1,Product!$A$1:$G$1,0))</f>
        <v>9.9499999999999993</v>
      </c>
      <c r="M292" s="5">
        <f t="shared" si="4"/>
        <v>49.75</v>
      </c>
      <c r="N292" t="str" cm="1">
        <f t="array" ref="N292">_xlfn.IFS(I292="Rob", "Robusta", I292="Exc", "Excelsa", I292="Ara", "Arabica", I292="Lib", "Liberica", TRUE, "")</f>
        <v>Arabica</v>
      </c>
      <c r="O292" t="str" cm="1">
        <f t="array" ref="O292">_xlfn.IFS(J292="M", "Medium", J292="L", "Light", J292="D", "Dark", TRUE, "")</f>
        <v>Dark</v>
      </c>
      <c r="P292" t="str">
        <f>_xlfn.XLOOKUP(Table1[[#This Row],[Customer ID]], customers!$A$1:$A$1001, customers!$I$1:$I$1001,, 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INDEX(Product!$A$1:$G$49,MATCH(orders!$D293,Product!$A$1:$A$49,0),MATCH(orders!I$1,Product!$A$1:$G$1,0))</f>
        <v>Exc</v>
      </c>
      <c r="J293" t="str">
        <f>INDEX(Product!$A$1:$G$49,MATCH(orders!$D293,Product!$A$1:$A$49,0),MATCH(orders!J$1,Product!$A$1:$G$1,0))</f>
        <v>M</v>
      </c>
      <c r="K293" s="4">
        <f>INDEX(Product!$A$1:$G$49,MATCH(orders!$D293,Product!$A$1:$A$49,0),MATCH(orders!K$1,Product!$A$1:$G$1,0))</f>
        <v>0.5</v>
      </c>
      <c r="L293" s="5">
        <f>INDEX(Product!$A$1:$G$49,MATCH(orders!$D293,Product!$A$1:$A$49,0),MATCH(orders!L$1,Product!$A$1:$G$1,0))</f>
        <v>8.25</v>
      </c>
      <c r="M293" s="5">
        <f t="shared" si="4"/>
        <v>16.5</v>
      </c>
      <c r="N293" t="str" cm="1">
        <f t="array" ref="N293">_xlfn.IFS(I293="Rob", "Robusta", I293="Exc", "Excelsa", I293="Ara", "Arabica", I293="Lib", "Liberica", TRUE, "")</f>
        <v>Excelsa</v>
      </c>
      <c r="O293" t="str" cm="1">
        <f t="array" ref="O293">_xlfn.IFS(J293="M", "Medium", J293="L", "Light", J293="D", "Dark", TRUE, "")</f>
        <v>Medium</v>
      </c>
      <c r="P293" t="str">
        <f>_xlfn.XLOOKUP(Table1[[#This Row],[Customer ID]], customers!$A$1:$A$1001, customers!$I$1:$I$1001,, 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INDEX(Product!$A$1:$G$49,MATCH(orders!$D294,Product!$A$1:$A$49,0),MATCH(orders!I$1,Product!$A$1:$G$1,0))</f>
        <v>Ara</v>
      </c>
      <c r="J294" t="str">
        <f>INDEX(Product!$A$1:$G$49,MATCH(orders!$D294,Product!$A$1:$A$49,0),MATCH(orders!J$1,Product!$A$1:$G$1,0))</f>
        <v>D</v>
      </c>
      <c r="K294" s="4">
        <f>INDEX(Product!$A$1:$G$49,MATCH(orders!$D294,Product!$A$1:$A$49,0),MATCH(orders!K$1,Product!$A$1:$G$1,0))</f>
        <v>0.5</v>
      </c>
      <c r="L294" s="5">
        <f>INDEX(Product!$A$1:$G$49,MATCH(orders!$D294,Product!$A$1:$A$49,0),MATCH(orders!L$1,Product!$A$1:$G$1,0))</f>
        <v>5.97</v>
      </c>
      <c r="M294" s="5">
        <f t="shared" si="4"/>
        <v>17.91</v>
      </c>
      <c r="N294" t="str" cm="1">
        <f t="array" ref="N294">_xlfn.IFS(I294="Rob", "Robusta", I294="Exc", "Excelsa", I294="Ara", "Arabica", I294="Lib", "Liberica", TRUE, "")</f>
        <v>Arabica</v>
      </c>
      <c r="O294" t="str" cm="1">
        <f t="array" ref="O294">_xlfn.IFS(J294="M", "Medium", J294="L", "Light", J294="D", "Dark", TRUE, "")</f>
        <v>Dark</v>
      </c>
      <c r="P294" t="str">
        <f>_xlfn.XLOOKUP(Table1[[#This Row],[Customer ID]], customers!$A$1:$A$1001, customers!$I$1:$I$1001,, 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INDEX(Product!$A$1:$G$49,MATCH(orders!$D295,Product!$A$1:$A$49,0),MATCH(orders!I$1,Product!$A$1:$G$1,0))</f>
        <v>Ara</v>
      </c>
      <c r="J295" t="str">
        <f>INDEX(Product!$A$1:$G$49,MATCH(orders!$D295,Product!$A$1:$A$49,0),MATCH(orders!J$1,Product!$A$1:$G$1,0))</f>
        <v>D</v>
      </c>
      <c r="K295" s="4">
        <f>INDEX(Product!$A$1:$G$49,MATCH(orders!$D295,Product!$A$1:$A$49,0),MATCH(orders!K$1,Product!$A$1:$G$1,0))</f>
        <v>0.5</v>
      </c>
      <c r="L295" s="5">
        <f>INDEX(Product!$A$1:$G$49,MATCH(orders!$D295,Product!$A$1:$A$49,0),MATCH(orders!L$1,Product!$A$1:$G$1,0))</f>
        <v>5.97</v>
      </c>
      <c r="M295" s="5">
        <f t="shared" si="4"/>
        <v>29.849999999999998</v>
      </c>
      <c r="N295" t="str" cm="1">
        <f t="array" ref="N295">_xlfn.IFS(I295="Rob", "Robusta", I295="Exc", "Excelsa", I295="Ara", "Arabica", I295="Lib", "Liberica", TRUE, "")</f>
        <v>Arabica</v>
      </c>
      <c r="O295" t="str" cm="1">
        <f t="array" ref="O295">_xlfn.IFS(J295="M", "Medium", J295="L", "Light", J295="D", "Dark", TRUE, "")</f>
        <v>Dark</v>
      </c>
      <c r="P295" t="str">
        <f>_xlfn.XLOOKUP(Table1[[#This Row],[Customer ID]], customers!$A$1:$A$1001, customers!$I$1:$I$1001,, 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INDEX(Product!$A$1:$G$49,MATCH(orders!$D296,Product!$A$1:$A$49,0),MATCH(orders!I$1,Product!$A$1:$G$1,0))</f>
        <v>Exc</v>
      </c>
      <c r="J296" t="str">
        <f>INDEX(Product!$A$1:$G$49,MATCH(orders!$D296,Product!$A$1:$A$49,0),MATCH(orders!J$1,Product!$A$1:$G$1,0))</f>
        <v>L</v>
      </c>
      <c r="K296" s="4">
        <f>INDEX(Product!$A$1:$G$49,MATCH(orders!$D296,Product!$A$1:$A$49,0),MATCH(orders!K$1,Product!$A$1:$G$1,0))</f>
        <v>1</v>
      </c>
      <c r="L296" s="5">
        <f>INDEX(Product!$A$1:$G$49,MATCH(orders!$D296,Product!$A$1:$A$49,0),MATCH(orders!L$1,Product!$A$1:$G$1,0))</f>
        <v>14.85</v>
      </c>
      <c r="M296" s="5">
        <f t="shared" si="4"/>
        <v>44.55</v>
      </c>
      <c r="N296" t="str" cm="1">
        <f t="array" ref="N296">_xlfn.IFS(I296="Rob", "Robusta", I296="Exc", "Excelsa", I296="Ara", "Arabica", I296="Lib", "Liberica", TRUE, "")</f>
        <v>Excelsa</v>
      </c>
      <c r="O296" t="str" cm="1">
        <f t="array" ref="O296">_xlfn.IFS(J296="M", "Medium", J296="L", "Light", J296="D", "Dark", TRUE, "")</f>
        <v>Light</v>
      </c>
      <c r="P296" t="str">
        <f>_xlfn.XLOOKUP(Table1[[#This Row],[Customer ID]], customers!$A$1:$A$1001, customers!$I$1:$I$1001,, 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INDEX(Product!$A$1:$G$49,MATCH(orders!$D297,Product!$A$1:$A$49,0),MATCH(orders!I$1,Product!$A$1:$G$1,0))</f>
        <v>Exc</v>
      </c>
      <c r="J297" t="str">
        <f>INDEX(Product!$A$1:$G$49,MATCH(orders!$D297,Product!$A$1:$A$49,0),MATCH(orders!J$1,Product!$A$1:$G$1,0))</f>
        <v>M</v>
      </c>
      <c r="K297" s="4">
        <f>INDEX(Product!$A$1:$G$49,MATCH(orders!$D297,Product!$A$1:$A$49,0),MATCH(orders!K$1,Product!$A$1:$G$1,0))</f>
        <v>1</v>
      </c>
      <c r="L297" s="5">
        <f>INDEX(Product!$A$1:$G$49,MATCH(orders!$D297,Product!$A$1:$A$49,0),MATCH(orders!L$1,Product!$A$1:$G$1,0))</f>
        <v>13.75</v>
      </c>
      <c r="M297" s="5">
        <f t="shared" si="4"/>
        <v>27.5</v>
      </c>
      <c r="N297" t="str" cm="1">
        <f t="array" ref="N297">_xlfn.IFS(I297="Rob", "Robusta", I297="Exc", "Excelsa", I297="Ara", "Arabica", I297="Lib", "Liberica", TRUE, "")</f>
        <v>Excelsa</v>
      </c>
      <c r="O297" t="str" cm="1">
        <f t="array" ref="O297">_xlfn.IFS(J297="M", "Medium", J297="L", "Light", J297="D", "Dark", TRUE, "")</f>
        <v>Medium</v>
      </c>
      <c r="P297" t="str">
        <f>_xlfn.XLOOKUP(Table1[[#This Row],[Customer ID]], customers!$A$1:$A$1001, customers!$I$1:$I$1001,, 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INDEX(Product!$A$1:$G$49,MATCH(orders!$D298,Product!$A$1:$A$49,0),MATCH(orders!I$1,Product!$A$1:$G$1,0))</f>
        <v>Rob</v>
      </c>
      <c r="J298" t="str">
        <f>INDEX(Product!$A$1:$G$49,MATCH(orders!$D298,Product!$A$1:$A$49,0),MATCH(orders!J$1,Product!$A$1:$G$1,0))</f>
        <v>M</v>
      </c>
      <c r="K298" s="4">
        <f>INDEX(Product!$A$1:$G$49,MATCH(orders!$D298,Product!$A$1:$A$49,0),MATCH(orders!K$1,Product!$A$1:$G$1,0))</f>
        <v>0.5</v>
      </c>
      <c r="L298" s="5">
        <f>INDEX(Product!$A$1:$G$49,MATCH(orders!$D298,Product!$A$1:$A$49,0),MATCH(orders!L$1,Product!$A$1:$G$1,0))</f>
        <v>5.97</v>
      </c>
      <c r="M298" s="5">
        <f t="shared" si="4"/>
        <v>35.82</v>
      </c>
      <c r="N298" t="str" cm="1">
        <f t="array" ref="N298">_xlfn.IFS(I298="Rob", "Robusta", I298="Exc", "Excelsa", I298="Ara", "Arabica", I298="Lib", "Liberica", TRUE, "")</f>
        <v>Robusta</v>
      </c>
      <c r="O298" t="str" cm="1">
        <f t="array" ref="O298">_xlfn.IFS(J298="M", "Medium", J298="L", "Light", J298="D", "Dark", TRUE, "")</f>
        <v>Medium</v>
      </c>
      <c r="P298" t="str">
        <f>_xlfn.XLOOKUP(Table1[[#This Row],[Customer ID]], customers!$A$1:$A$1001, customers!$I$1:$I$1001,, 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INDEX(Product!$A$1:$G$49,MATCH(orders!$D299,Product!$A$1:$A$49,0),MATCH(orders!I$1,Product!$A$1:$G$1,0))</f>
        <v>Rob</v>
      </c>
      <c r="J299" t="str">
        <f>INDEX(Product!$A$1:$G$49,MATCH(orders!$D299,Product!$A$1:$A$49,0),MATCH(orders!J$1,Product!$A$1:$G$1,0))</f>
        <v>D</v>
      </c>
      <c r="K299" s="4">
        <f>INDEX(Product!$A$1:$G$49,MATCH(orders!$D299,Product!$A$1:$A$49,0),MATCH(orders!K$1,Product!$A$1:$G$1,0))</f>
        <v>0.5</v>
      </c>
      <c r="L299" s="5">
        <f>INDEX(Product!$A$1:$G$49,MATCH(orders!$D299,Product!$A$1:$A$49,0),MATCH(orders!L$1,Product!$A$1:$G$1,0))</f>
        <v>5.3699999999999992</v>
      </c>
      <c r="M299" s="5">
        <f t="shared" si="4"/>
        <v>16.11</v>
      </c>
      <c r="N299" t="str" cm="1">
        <f t="array" ref="N299">_xlfn.IFS(I299="Rob", "Robusta", I299="Exc", "Excelsa", I299="Ara", "Arabica", I299="Lib", "Liberica", TRUE, "")</f>
        <v>Robusta</v>
      </c>
      <c r="O299" t="str" cm="1">
        <f t="array" ref="O299">_xlfn.IFS(J299="M", "Medium", J299="L", "Light", J299="D", "Dark", TRUE, "")</f>
        <v>Dark</v>
      </c>
      <c r="P299" t="str">
        <f>_xlfn.XLOOKUP(Table1[[#This Row],[Customer ID]], customers!$A$1:$A$1001, customers!$I$1:$I$1001,, 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INDEX(Product!$A$1:$G$49,MATCH(orders!$D300,Product!$A$1:$A$49,0),MATCH(orders!I$1,Product!$A$1:$G$1,0))</f>
        <v>Exc</v>
      </c>
      <c r="J300" t="str">
        <f>INDEX(Product!$A$1:$G$49,MATCH(orders!$D300,Product!$A$1:$A$49,0),MATCH(orders!J$1,Product!$A$1:$G$1,0))</f>
        <v>L</v>
      </c>
      <c r="K300" s="4">
        <f>INDEX(Product!$A$1:$G$49,MATCH(orders!$D300,Product!$A$1:$A$49,0),MATCH(orders!K$1,Product!$A$1:$G$1,0))</f>
        <v>0.2</v>
      </c>
      <c r="L300" s="5">
        <f>INDEX(Product!$A$1:$G$49,MATCH(orders!$D300,Product!$A$1:$A$49,0),MATCH(orders!L$1,Product!$A$1:$G$1,0))</f>
        <v>4.4550000000000001</v>
      </c>
      <c r="M300" s="5">
        <f t="shared" si="4"/>
        <v>26.73</v>
      </c>
      <c r="N300" t="str" cm="1">
        <f t="array" ref="N300">_xlfn.IFS(I300="Rob", "Robusta", I300="Exc", "Excelsa", I300="Ara", "Arabica", I300="Lib", "Liberica", TRUE, "")</f>
        <v>Excelsa</v>
      </c>
      <c r="O300" t="str" cm="1">
        <f t="array" ref="O300">_xlfn.IFS(J300="M", "Medium", J300="L", "Light", J300="D", "Dark", TRUE, "")</f>
        <v>Light</v>
      </c>
      <c r="P300" t="str">
        <f>_xlfn.XLOOKUP(Table1[[#This Row],[Customer ID]], customers!$A$1:$A$1001, customers!$I$1:$I$1001,, 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INDEX(Product!$A$1:$G$49,MATCH(orders!$D301,Product!$A$1:$A$49,0),MATCH(orders!I$1,Product!$A$1:$G$1,0))</f>
        <v>Exc</v>
      </c>
      <c r="J301" t="str">
        <f>INDEX(Product!$A$1:$G$49,MATCH(orders!$D301,Product!$A$1:$A$49,0),MATCH(orders!J$1,Product!$A$1:$G$1,0))</f>
        <v>L</v>
      </c>
      <c r="K301" s="4">
        <f>INDEX(Product!$A$1:$G$49,MATCH(orders!$D301,Product!$A$1:$A$49,0),MATCH(orders!K$1,Product!$A$1:$G$1,0))</f>
        <v>2.5</v>
      </c>
      <c r="L301" s="5">
        <f>INDEX(Product!$A$1:$G$49,MATCH(orders!$D301,Product!$A$1:$A$49,0),MATCH(orders!L$1,Product!$A$1:$G$1,0))</f>
        <v>34.154999999999994</v>
      </c>
      <c r="M301" s="5">
        <f t="shared" si="4"/>
        <v>204.92999999999995</v>
      </c>
      <c r="N301" t="str" cm="1">
        <f t="array" ref="N301">_xlfn.IFS(I301="Rob", "Robusta", I301="Exc", "Excelsa", I301="Ara", "Arabica", I301="Lib", "Liberica", TRUE, "")</f>
        <v>Excelsa</v>
      </c>
      <c r="O301" t="str" cm="1">
        <f t="array" ref="O301">_xlfn.IFS(J301="M", "Medium", J301="L", "Light", J301="D", "Dark", TRUE, "")</f>
        <v>Light</v>
      </c>
      <c r="P301" t="str">
        <f>_xlfn.XLOOKUP(Table1[[#This Row],[Customer ID]], customers!$A$1:$A$1001, customers!$I$1:$I$1001,, 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INDEX(Product!$A$1:$G$49,MATCH(orders!$D302,Product!$A$1:$A$49,0),MATCH(orders!I$1,Product!$A$1:$G$1,0))</f>
        <v>Ara</v>
      </c>
      <c r="J302" t="str">
        <f>INDEX(Product!$A$1:$G$49,MATCH(orders!$D302,Product!$A$1:$A$49,0),MATCH(orders!J$1,Product!$A$1:$G$1,0))</f>
        <v>L</v>
      </c>
      <c r="K302" s="4">
        <f>INDEX(Product!$A$1:$G$49,MATCH(orders!$D302,Product!$A$1:$A$49,0),MATCH(orders!K$1,Product!$A$1:$G$1,0))</f>
        <v>1</v>
      </c>
      <c r="L302" s="5">
        <f>INDEX(Product!$A$1:$G$49,MATCH(orders!$D302,Product!$A$1:$A$49,0),MATCH(orders!L$1,Product!$A$1:$G$1,0))</f>
        <v>12.95</v>
      </c>
      <c r="M302" s="5">
        <f t="shared" si="4"/>
        <v>38.849999999999994</v>
      </c>
      <c r="N302" t="str" cm="1">
        <f t="array" ref="N302">_xlfn.IFS(I302="Rob", "Robusta", I302="Exc", "Excelsa", I302="Ara", "Arabica", I302="Lib", "Liberica", TRUE, "")</f>
        <v>Arabica</v>
      </c>
      <c r="O302" t="str" cm="1">
        <f t="array" ref="O302">_xlfn.IFS(J302="M", "Medium", J302="L", "Light", J302="D", "Dark", TRUE, "")</f>
        <v>Light</v>
      </c>
      <c r="P302" t="str">
        <f>_xlfn.XLOOKUP(Table1[[#This Row],[Customer ID]], customers!$A$1:$A$1001, customers!$I$1:$I$1001,, 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INDEX(Product!$A$1:$G$49,MATCH(orders!$D303,Product!$A$1:$A$49,0),MATCH(orders!I$1,Product!$A$1:$G$1,0))</f>
        <v>Lib</v>
      </c>
      <c r="J303" t="str">
        <f>INDEX(Product!$A$1:$G$49,MATCH(orders!$D303,Product!$A$1:$A$49,0),MATCH(orders!J$1,Product!$A$1:$G$1,0))</f>
        <v>D</v>
      </c>
      <c r="K303" s="4">
        <f>INDEX(Product!$A$1:$G$49,MATCH(orders!$D303,Product!$A$1:$A$49,0),MATCH(orders!K$1,Product!$A$1:$G$1,0))</f>
        <v>0.2</v>
      </c>
      <c r="L303" s="5">
        <f>INDEX(Product!$A$1:$G$49,MATCH(orders!$D303,Product!$A$1:$A$49,0),MATCH(orders!L$1,Product!$A$1:$G$1,0))</f>
        <v>3.8849999999999998</v>
      </c>
      <c r="M303" s="5">
        <f t="shared" si="4"/>
        <v>15.54</v>
      </c>
      <c r="N303" t="str" cm="1">
        <f t="array" ref="N303">_xlfn.IFS(I303="Rob", "Robusta", I303="Exc", "Excelsa", I303="Ara", "Arabica", I303="Lib", "Liberica", TRUE, "")</f>
        <v>Liberica</v>
      </c>
      <c r="O303" t="str" cm="1">
        <f t="array" ref="O303">_xlfn.IFS(J303="M", "Medium", J303="L", "Light", J303="D", "Dark", TRUE, "")</f>
        <v>Dark</v>
      </c>
      <c r="P303" t="str">
        <f>_xlfn.XLOOKUP(Table1[[#This Row],[Customer ID]], customers!$A$1:$A$1001, customers!$I$1:$I$1001,, 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INDEX(Product!$A$1:$G$49,MATCH(orders!$D304,Product!$A$1:$A$49,0),MATCH(orders!I$1,Product!$A$1:$G$1,0))</f>
        <v>Ara</v>
      </c>
      <c r="J304" t="str">
        <f>INDEX(Product!$A$1:$G$49,MATCH(orders!$D304,Product!$A$1:$A$49,0),MATCH(orders!J$1,Product!$A$1:$G$1,0))</f>
        <v>M</v>
      </c>
      <c r="K304" s="4">
        <f>INDEX(Product!$A$1:$G$49,MATCH(orders!$D304,Product!$A$1:$A$49,0),MATCH(orders!K$1,Product!$A$1:$G$1,0))</f>
        <v>0.5</v>
      </c>
      <c r="L304" s="5">
        <f>INDEX(Product!$A$1:$G$49,MATCH(orders!$D304,Product!$A$1:$A$49,0),MATCH(orders!L$1,Product!$A$1:$G$1,0))</f>
        <v>6.75</v>
      </c>
      <c r="M304" s="5">
        <f t="shared" si="4"/>
        <v>6.75</v>
      </c>
      <c r="N304" t="str" cm="1">
        <f t="array" ref="N304">_xlfn.IFS(I304="Rob", "Robusta", I304="Exc", "Excelsa", I304="Ara", "Arabica", I304="Lib", "Liberica", TRUE, "")</f>
        <v>Arabica</v>
      </c>
      <c r="O304" t="str" cm="1">
        <f t="array" ref="O304">_xlfn.IFS(J304="M", "Medium", J304="L", "Light", J304="D", "Dark", TRUE, "")</f>
        <v>Medium</v>
      </c>
      <c r="P304" t="str">
        <f>_xlfn.XLOOKUP(Table1[[#This Row],[Customer ID]], customers!$A$1:$A$1001, customers!$I$1:$I$1001,, 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INDEX(Product!$A$1:$G$49,MATCH(orders!$D305,Product!$A$1:$A$49,0),MATCH(orders!I$1,Product!$A$1:$G$1,0))</f>
        <v>Exc</v>
      </c>
      <c r="J305" t="str">
        <f>INDEX(Product!$A$1:$G$49,MATCH(orders!$D305,Product!$A$1:$A$49,0),MATCH(orders!J$1,Product!$A$1:$G$1,0))</f>
        <v>D</v>
      </c>
      <c r="K305" s="4">
        <f>INDEX(Product!$A$1:$G$49,MATCH(orders!$D305,Product!$A$1:$A$49,0),MATCH(orders!K$1,Product!$A$1:$G$1,0))</f>
        <v>2.5</v>
      </c>
      <c r="L305" s="5">
        <f>INDEX(Product!$A$1:$G$49,MATCH(orders!$D305,Product!$A$1:$A$49,0),MATCH(orders!L$1,Product!$A$1:$G$1,0))</f>
        <v>27.945</v>
      </c>
      <c r="M305" s="5">
        <f t="shared" si="4"/>
        <v>111.78</v>
      </c>
      <c r="N305" t="str" cm="1">
        <f t="array" ref="N305">_xlfn.IFS(I305="Rob", "Robusta", I305="Exc", "Excelsa", I305="Ara", "Arabica", I305="Lib", "Liberica", TRUE, "")</f>
        <v>Excelsa</v>
      </c>
      <c r="O305" t="str" cm="1">
        <f t="array" ref="O305">_xlfn.IFS(J305="M", "Medium", J305="L", "Light", J305="D", "Dark", TRUE, "")</f>
        <v>Dark</v>
      </c>
      <c r="P305" t="str">
        <f>_xlfn.XLOOKUP(Table1[[#This Row],[Customer ID]], customers!$A$1:$A$1001, customers!$I$1:$I$1001,, 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INDEX(Product!$A$1:$G$49,MATCH(orders!$D306,Product!$A$1:$A$49,0),MATCH(orders!I$1,Product!$A$1:$G$1,0))</f>
        <v>Ara</v>
      </c>
      <c r="J306" t="str">
        <f>INDEX(Product!$A$1:$G$49,MATCH(orders!$D306,Product!$A$1:$A$49,0),MATCH(orders!J$1,Product!$A$1:$G$1,0))</f>
        <v>L</v>
      </c>
      <c r="K306" s="4">
        <f>INDEX(Product!$A$1:$G$49,MATCH(orders!$D306,Product!$A$1:$A$49,0),MATCH(orders!K$1,Product!$A$1:$G$1,0))</f>
        <v>0.2</v>
      </c>
      <c r="L306" s="5">
        <f>INDEX(Product!$A$1:$G$49,MATCH(orders!$D306,Product!$A$1:$A$49,0),MATCH(orders!L$1,Product!$A$1:$G$1,0))</f>
        <v>3.8849999999999998</v>
      </c>
      <c r="M306" s="5">
        <f t="shared" si="4"/>
        <v>3.8849999999999998</v>
      </c>
      <c r="N306" t="str" cm="1">
        <f t="array" ref="N306">_xlfn.IFS(I306="Rob", "Robusta", I306="Exc", "Excelsa", I306="Ara", "Arabica", I306="Lib", "Liberica", TRUE, "")</f>
        <v>Arabica</v>
      </c>
      <c r="O306" t="str" cm="1">
        <f t="array" ref="O306">_xlfn.IFS(J306="M", "Medium", J306="L", "Light", J306="D", "Dark", TRUE, "")</f>
        <v>Light</v>
      </c>
      <c r="P306" t="str">
        <f>_xlfn.XLOOKUP(Table1[[#This Row],[Customer ID]], customers!$A$1:$A$1001, customers!$I$1:$I$1001,, 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INDEX(Product!$A$1:$G$49,MATCH(orders!$D307,Product!$A$1:$A$49,0),MATCH(orders!I$1,Product!$A$1:$G$1,0))</f>
        <v>Lib</v>
      </c>
      <c r="J307" t="str">
        <f>INDEX(Product!$A$1:$G$49,MATCH(orders!$D307,Product!$A$1:$A$49,0),MATCH(orders!J$1,Product!$A$1:$G$1,0))</f>
        <v>M</v>
      </c>
      <c r="K307" s="4">
        <f>INDEX(Product!$A$1:$G$49,MATCH(orders!$D307,Product!$A$1:$A$49,0),MATCH(orders!K$1,Product!$A$1:$G$1,0))</f>
        <v>0.2</v>
      </c>
      <c r="L307" s="5">
        <f>INDEX(Product!$A$1:$G$49,MATCH(orders!$D307,Product!$A$1:$A$49,0),MATCH(orders!L$1,Product!$A$1:$G$1,0))</f>
        <v>4.3650000000000002</v>
      </c>
      <c r="M307" s="5">
        <f t="shared" si="4"/>
        <v>21.825000000000003</v>
      </c>
      <c r="N307" t="str" cm="1">
        <f t="array" ref="N307">_xlfn.IFS(I307="Rob", "Robusta", I307="Exc", "Excelsa", I307="Ara", "Arabica", I307="Lib", "Liberica", TRUE, "")</f>
        <v>Liberica</v>
      </c>
      <c r="O307" t="str" cm="1">
        <f t="array" ref="O307">_xlfn.IFS(J307="M", "Medium", J307="L", "Light", J307="D", "Dark", TRUE, "")</f>
        <v>Medium</v>
      </c>
      <c r="P307" t="str">
        <f>_xlfn.XLOOKUP(Table1[[#This Row],[Customer ID]], customers!$A$1:$A$1001, customers!$I$1:$I$1001,, 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INDEX(Product!$A$1:$G$49,MATCH(orders!$D308,Product!$A$1:$A$49,0),MATCH(orders!I$1,Product!$A$1:$G$1,0))</f>
        <v>Rob</v>
      </c>
      <c r="J308" t="str">
        <f>INDEX(Product!$A$1:$G$49,MATCH(orders!$D308,Product!$A$1:$A$49,0),MATCH(orders!J$1,Product!$A$1:$G$1,0))</f>
        <v>M</v>
      </c>
      <c r="K308" s="4">
        <f>INDEX(Product!$A$1:$G$49,MATCH(orders!$D308,Product!$A$1:$A$49,0),MATCH(orders!K$1,Product!$A$1:$G$1,0))</f>
        <v>0.2</v>
      </c>
      <c r="L308" s="5">
        <f>INDEX(Product!$A$1:$G$49,MATCH(orders!$D308,Product!$A$1:$A$49,0),MATCH(orders!L$1,Product!$A$1:$G$1,0))</f>
        <v>2.9849999999999999</v>
      </c>
      <c r="M308" s="5">
        <f t="shared" si="4"/>
        <v>14.924999999999999</v>
      </c>
      <c r="N308" t="str" cm="1">
        <f t="array" ref="N308">_xlfn.IFS(I308="Rob", "Robusta", I308="Exc", "Excelsa", I308="Ara", "Arabica", I308="Lib", "Liberica", TRUE, "")</f>
        <v>Robusta</v>
      </c>
      <c r="O308" t="str" cm="1">
        <f t="array" ref="O308">_xlfn.IFS(J308="M", "Medium", J308="L", "Light", J308="D", "Dark", TRUE, "")</f>
        <v>Medium</v>
      </c>
      <c r="P308" t="str">
        <f>_xlfn.XLOOKUP(Table1[[#This Row],[Customer ID]], customers!$A$1:$A$1001, customers!$I$1:$I$1001,, 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INDEX(Product!$A$1:$G$49,MATCH(orders!$D309,Product!$A$1:$A$49,0),MATCH(orders!I$1,Product!$A$1:$G$1,0))</f>
        <v>Ara</v>
      </c>
      <c r="J309" t="str">
        <f>INDEX(Product!$A$1:$G$49,MATCH(orders!$D309,Product!$A$1:$A$49,0),MATCH(orders!J$1,Product!$A$1:$G$1,0))</f>
        <v>M</v>
      </c>
      <c r="K309" s="4">
        <f>INDEX(Product!$A$1:$G$49,MATCH(orders!$D309,Product!$A$1:$A$49,0),MATCH(orders!K$1,Product!$A$1:$G$1,0))</f>
        <v>1</v>
      </c>
      <c r="L309" s="5">
        <f>INDEX(Product!$A$1:$G$49,MATCH(orders!$D309,Product!$A$1:$A$49,0),MATCH(orders!L$1,Product!$A$1:$G$1,0))</f>
        <v>11.25</v>
      </c>
      <c r="M309" s="5">
        <f t="shared" si="4"/>
        <v>33.75</v>
      </c>
      <c r="N309" t="str" cm="1">
        <f t="array" ref="N309">_xlfn.IFS(I309="Rob", "Robusta", I309="Exc", "Excelsa", I309="Ara", "Arabica", I309="Lib", "Liberica", TRUE, "")</f>
        <v>Arabica</v>
      </c>
      <c r="O309" t="str" cm="1">
        <f t="array" ref="O309">_xlfn.IFS(J309="M", "Medium", J309="L", "Light", J309="D", "Dark", TRUE, "")</f>
        <v>Medium</v>
      </c>
      <c r="P309" t="str">
        <f>_xlfn.XLOOKUP(Table1[[#This Row],[Customer ID]], customers!$A$1:$A$1001, customers!$I$1:$I$1001,, 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INDEX(Product!$A$1:$G$49,MATCH(orders!$D310,Product!$A$1:$A$49,0),MATCH(orders!I$1,Product!$A$1:$G$1,0))</f>
        <v>Ara</v>
      </c>
      <c r="J310" t="str">
        <f>INDEX(Product!$A$1:$G$49,MATCH(orders!$D310,Product!$A$1:$A$49,0),MATCH(orders!J$1,Product!$A$1:$G$1,0))</f>
        <v>M</v>
      </c>
      <c r="K310" s="4">
        <f>INDEX(Product!$A$1:$G$49,MATCH(orders!$D310,Product!$A$1:$A$49,0),MATCH(orders!K$1,Product!$A$1:$G$1,0))</f>
        <v>1</v>
      </c>
      <c r="L310" s="5">
        <f>INDEX(Product!$A$1:$G$49,MATCH(orders!$D310,Product!$A$1:$A$49,0),MATCH(orders!L$1,Product!$A$1:$G$1,0))</f>
        <v>11.25</v>
      </c>
      <c r="M310" s="5">
        <f t="shared" si="4"/>
        <v>33.75</v>
      </c>
      <c r="N310" t="str" cm="1">
        <f t="array" ref="N310">_xlfn.IFS(I310="Rob", "Robusta", I310="Exc", "Excelsa", I310="Ara", "Arabica", I310="Lib", "Liberica", TRUE, "")</f>
        <v>Arabica</v>
      </c>
      <c r="O310" t="str" cm="1">
        <f t="array" ref="O310">_xlfn.IFS(J310="M", "Medium", J310="L", "Light", J310="D", "Dark", TRUE, "")</f>
        <v>Medium</v>
      </c>
      <c r="P310" t="str">
        <f>_xlfn.XLOOKUP(Table1[[#This Row],[Customer ID]], customers!$A$1:$A$1001, customers!$I$1:$I$1001,, 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INDEX(Product!$A$1:$G$49,MATCH(orders!$D311,Product!$A$1:$A$49,0),MATCH(orders!I$1,Product!$A$1:$G$1,0))</f>
        <v>Lib</v>
      </c>
      <c r="J311" t="str">
        <f>INDEX(Product!$A$1:$G$49,MATCH(orders!$D311,Product!$A$1:$A$49,0),MATCH(orders!J$1,Product!$A$1:$G$1,0))</f>
        <v>M</v>
      </c>
      <c r="K311" s="4">
        <f>INDEX(Product!$A$1:$G$49,MATCH(orders!$D311,Product!$A$1:$A$49,0),MATCH(orders!K$1,Product!$A$1:$G$1,0))</f>
        <v>0.2</v>
      </c>
      <c r="L311" s="5">
        <f>INDEX(Product!$A$1:$G$49,MATCH(orders!$D311,Product!$A$1:$A$49,0),MATCH(orders!L$1,Product!$A$1:$G$1,0))</f>
        <v>4.3650000000000002</v>
      </c>
      <c r="M311" s="5">
        <f t="shared" si="4"/>
        <v>26.19</v>
      </c>
      <c r="N311" t="str" cm="1">
        <f t="array" ref="N311">_xlfn.IFS(I311="Rob", "Robusta", I311="Exc", "Excelsa", I311="Ara", "Arabica", I311="Lib", "Liberica", TRUE, "")</f>
        <v>Liberica</v>
      </c>
      <c r="O311" t="str" cm="1">
        <f t="array" ref="O311">_xlfn.IFS(J311="M", "Medium", J311="L", "Light", J311="D", "Dark", TRUE, "")</f>
        <v>Medium</v>
      </c>
      <c r="P311" t="str">
        <f>_xlfn.XLOOKUP(Table1[[#This Row],[Customer ID]], customers!$A$1:$A$1001, customers!$I$1:$I$1001,, 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INDEX(Product!$A$1:$G$49,MATCH(orders!$D312,Product!$A$1:$A$49,0),MATCH(orders!I$1,Product!$A$1:$G$1,0))</f>
        <v>Exc</v>
      </c>
      <c r="J312" t="str">
        <f>INDEX(Product!$A$1:$G$49,MATCH(orders!$D312,Product!$A$1:$A$49,0),MATCH(orders!J$1,Product!$A$1:$G$1,0))</f>
        <v>L</v>
      </c>
      <c r="K312" s="4">
        <f>INDEX(Product!$A$1:$G$49,MATCH(orders!$D312,Product!$A$1:$A$49,0),MATCH(orders!K$1,Product!$A$1:$G$1,0))</f>
        <v>1</v>
      </c>
      <c r="L312" s="5">
        <f>INDEX(Product!$A$1:$G$49,MATCH(orders!$D312,Product!$A$1:$A$49,0),MATCH(orders!L$1,Product!$A$1:$G$1,0))</f>
        <v>14.85</v>
      </c>
      <c r="M312" s="5">
        <f t="shared" si="4"/>
        <v>14.85</v>
      </c>
      <c r="N312" t="str" cm="1">
        <f t="array" ref="N312">_xlfn.IFS(I312="Rob", "Robusta", I312="Exc", "Excelsa", I312="Ara", "Arabica", I312="Lib", "Liberica", TRUE, "")</f>
        <v>Excelsa</v>
      </c>
      <c r="O312" t="str" cm="1">
        <f t="array" ref="O312">_xlfn.IFS(J312="M", "Medium", J312="L", "Light", J312="D", "Dark", TRUE, "")</f>
        <v>Light</v>
      </c>
      <c r="P312" t="str">
        <f>_xlfn.XLOOKUP(Table1[[#This Row],[Customer ID]], customers!$A$1:$A$1001, customers!$I$1:$I$1001,, 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INDEX(Product!$A$1:$G$49,MATCH(orders!$D313,Product!$A$1:$A$49,0),MATCH(orders!I$1,Product!$A$1:$G$1,0))</f>
        <v>Exc</v>
      </c>
      <c r="J313" t="str">
        <f>INDEX(Product!$A$1:$G$49,MATCH(orders!$D313,Product!$A$1:$A$49,0),MATCH(orders!J$1,Product!$A$1:$G$1,0))</f>
        <v>M</v>
      </c>
      <c r="K313" s="4">
        <f>INDEX(Product!$A$1:$G$49,MATCH(orders!$D313,Product!$A$1:$A$49,0),MATCH(orders!K$1,Product!$A$1:$G$1,0))</f>
        <v>2.5</v>
      </c>
      <c r="L313" s="5">
        <f>INDEX(Product!$A$1:$G$49,MATCH(orders!$D313,Product!$A$1:$A$49,0),MATCH(orders!L$1,Product!$A$1:$G$1,0))</f>
        <v>31.624999999999996</v>
      </c>
      <c r="M313" s="5">
        <f t="shared" si="4"/>
        <v>189.74999999999997</v>
      </c>
      <c r="N313" t="str" cm="1">
        <f t="array" ref="N313">_xlfn.IFS(I313="Rob", "Robusta", I313="Exc", "Excelsa", I313="Ara", "Arabica", I313="Lib", "Liberica", TRUE, "")</f>
        <v>Excelsa</v>
      </c>
      <c r="O313" t="str" cm="1">
        <f t="array" ref="O313">_xlfn.IFS(J313="M", "Medium", J313="L", "Light", J313="D", "Dark", TRUE, "")</f>
        <v>Medium</v>
      </c>
      <c r="P313" t="str">
        <f>_xlfn.XLOOKUP(Table1[[#This Row],[Customer ID]], customers!$A$1:$A$1001, customers!$I$1:$I$1001,, 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INDEX(Product!$A$1:$G$49,MATCH(orders!$D314,Product!$A$1:$A$49,0),MATCH(orders!I$1,Product!$A$1:$G$1,0))</f>
        <v>Rob</v>
      </c>
      <c r="J314" t="str">
        <f>INDEX(Product!$A$1:$G$49,MATCH(orders!$D314,Product!$A$1:$A$49,0),MATCH(orders!J$1,Product!$A$1:$G$1,0))</f>
        <v>M</v>
      </c>
      <c r="K314" s="4">
        <f>INDEX(Product!$A$1:$G$49,MATCH(orders!$D314,Product!$A$1:$A$49,0),MATCH(orders!K$1,Product!$A$1:$G$1,0))</f>
        <v>0.5</v>
      </c>
      <c r="L314" s="5">
        <f>INDEX(Product!$A$1:$G$49,MATCH(orders!$D314,Product!$A$1:$A$49,0),MATCH(orders!L$1,Product!$A$1:$G$1,0))</f>
        <v>5.97</v>
      </c>
      <c r="M314" s="5">
        <f t="shared" si="4"/>
        <v>5.97</v>
      </c>
      <c r="N314" t="str" cm="1">
        <f t="array" ref="N314">_xlfn.IFS(I314="Rob", "Robusta", I314="Exc", "Excelsa", I314="Ara", "Arabica", I314="Lib", "Liberica", TRUE, "")</f>
        <v>Robusta</v>
      </c>
      <c r="O314" t="str" cm="1">
        <f t="array" ref="O314">_xlfn.IFS(J314="M", "Medium", J314="L", "Light", J314="D", "Dark", TRUE, "")</f>
        <v>Medium</v>
      </c>
      <c r="P314" t="str">
        <f>_xlfn.XLOOKUP(Table1[[#This Row],[Customer ID]], customers!$A$1:$A$1001, customers!$I$1:$I$1001,, 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INDEX(Product!$A$1:$G$49,MATCH(orders!$D315,Product!$A$1:$A$49,0),MATCH(orders!I$1,Product!$A$1:$G$1,0))</f>
        <v>Rob</v>
      </c>
      <c r="J315" t="str">
        <f>INDEX(Product!$A$1:$G$49,MATCH(orders!$D315,Product!$A$1:$A$49,0),MATCH(orders!J$1,Product!$A$1:$G$1,0))</f>
        <v>M</v>
      </c>
      <c r="K315" s="4">
        <f>INDEX(Product!$A$1:$G$49,MATCH(orders!$D315,Product!$A$1:$A$49,0),MATCH(orders!K$1,Product!$A$1:$G$1,0))</f>
        <v>1</v>
      </c>
      <c r="L315" s="5">
        <f>INDEX(Product!$A$1:$G$49,MATCH(orders!$D315,Product!$A$1:$A$49,0),MATCH(orders!L$1,Product!$A$1:$G$1,0))</f>
        <v>9.9499999999999993</v>
      </c>
      <c r="M315" s="5">
        <f t="shared" si="4"/>
        <v>29.849999999999998</v>
      </c>
      <c r="N315" t="str" cm="1">
        <f t="array" ref="N315">_xlfn.IFS(I315="Rob", "Robusta", I315="Exc", "Excelsa", I315="Ara", "Arabica", I315="Lib", "Liberica", TRUE, "")</f>
        <v>Robusta</v>
      </c>
      <c r="O315" t="str" cm="1">
        <f t="array" ref="O315">_xlfn.IFS(J315="M", "Medium", J315="L", "Light", J315="D", "Dark", TRUE, "")</f>
        <v>Medium</v>
      </c>
      <c r="P315" t="str">
        <f>_xlfn.XLOOKUP(Table1[[#This Row],[Customer ID]], customers!$A$1:$A$1001, customers!$I$1:$I$1001,, 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INDEX(Product!$A$1:$G$49,MATCH(orders!$D316,Product!$A$1:$A$49,0),MATCH(orders!I$1,Product!$A$1:$G$1,0))</f>
        <v>Rob</v>
      </c>
      <c r="J316" t="str">
        <f>INDEX(Product!$A$1:$G$49,MATCH(orders!$D316,Product!$A$1:$A$49,0),MATCH(orders!J$1,Product!$A$1:$G$1,0))</f>
        <v>D</v>
      </c>
      <c r="K316" s="4">
        <f>INDEX(Product!$A$1:$G$49,MATCH(orders!$D316,Product!$A$1:$A$49,0),MATCH(orders!K$1,Product!$A$1:$G$1,0))</f>
        <v>1</v>
      </c>
      <c r="L316" s="5">
        <f>INDEX(Product!$A$1:$G$49,MATCH(orders!$D316,Product!$A$1:$A$49,0),MATCH(orders!L$1,Product!$A$1:$G$1,0))</f>
        <v>8.9499999999999993</v>
      </c>
      <c r="M316" s="5">
        <f t="shared" si="4"/>
        <v>44.75</v>
      </c>
      <c r="N316" t="str" cm="1">
        <f t="array" ref="N316">_xlfn.IFS(I316="Rob", "Robusta", I316="Exc", "Excelsa", I316="Ara", "Arabica", I316="Lib", "Liberica", TRUE, "")</f>
        <v>Robusta</v>
      </c>
      <c r="O316" t="str" cm="1">
        <f t="array" ref="O316">_xlfn.IFS(J316="M", "Medium", J316="L", "Light", J316="D", "Dark", TRUE, "")</f>
        <v>Dark</v>
      </c>
      <c r="P316" t="str">
        <f>_xlfn.XLOOKUP(Table1[[#This Row],[Customer ID]], customers!$A$1:$A$1001, customers!$I$1:$I$1001,, 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INDEX(Product!$A$1:$G$49,MATCH(orders!$D317,Product!$A$1:$A$49,0),MATCH(orders!I$1,Product!$A$1:$G$1,0))</f>
        <v>Exc</v>
      </c>
      <c r="J317" t="str">
        <f>INDEX(Product!$A$1:$G$49,MATCH(orders!$D317,Product!$A$1:$A$49,0),MATCH(orders!J$1,Product!$A$1:$G$1,0))</f>
        <v>L</v>
      </c>
      <c r="K317" s="4">
        <f>INDEX(Product!$A$1:$G$49,MATCH(orders!$D317,Product!$A$1:$A$49,0),MATCH(orders!K$1,Product!$A$1:$G$1,0))</f>
        <v>2.5</v>
      </c>
      <c r="L317" s="5">
        <f>INDEX(Product!$A$1:$G$49,MATCH(orders!$D317,Product!$A$1:$A$49,0),MATCH(orders!L$1,Product!$A$1:$G$1,0))</f>
        <v>34.154999999999994</v>
      </c>
      <c r="M317" s="5">
        <f t="shared" si="4"/>
        <v>34.154999999999994</v>
      </c>
      <c r="N317" t="str" cm="1">
        <f t="array" ref="N317">_xlfn.IFS(I317="Rob", "Robusta", I317="Exc", "Excelsa", I317="Ara", "Arabica", I317="Lib", "Liberica", TRUE, "")</f>
        <v>Excelsa</v>
      </c>
      <c r="O317" t="str" cm="1">
        <f t="array" ref="O317">_xlfn.IFS(J317="M", "Medium", J317="L", "Light", J317="D", "Dark", TRUE, "")</f>
        <v>Light</v>
      </c>
      <c r="P317" t="str">
        <f>_xlfn.XLOOKUP(Table1[[#This Row],[Customer ID]], customers!$A$1:$A$1001, customers!$I$1:$I$1001,, 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INDEX(Product!$A$1:$G$49,MATCH(orders!$D318,Product!$A$1:$A$49,0),MATCH(orders!I$1,Product!$A$1:$G$1,0))</f>
        <v>Exc</v>
      </c>
      <c r="J318" t="str">
        <f>INDEX(Product!$A$1:$G$49,MATCH(orders!$D318,Product!$A$1:$A$49,0),MATCH(orders!J$1,Product!$A$1:$G$1,0))</f>
        <v>L</v>
      </c>
      <c r="K318" s="4">
        <f>INDEX(Product!$A$1:$G$49,MATCH(orders!$D318,Product!$A$1:$A$49,0),MATCH(orders!K$1,Product!$A$1:$G$1,0))</f>
        <v>2.5</v>
      </c>
      <c r="L318" s="5">
        <f>INDEX(Product!$A$1:$G$49,MATCH(orders!$D318,Product!$A$1:$A$49,0),MATCH(orders!L$1,Product!$A$1:$G$1,0))</f>
        <v>34.154999999999994</v>
      </c>
      <c r="M318" s="5">
        <f t="shared" si="4"/>
        <v>204.92999999999995</v>
      </c>
      <c r="N318" t="str" cm="1">
        <f t="array" ref="N318">_xlfn.IFS(I318="Rob", "Robusta", I318="Exc", "Excelsa", I318="Ara", "Arabica", I318="Lib", "Liberica", TRUE, "")</f>
        <v>Excelsa</v>
      </c>
      <c r="O318" t="str" cm="1">
        <f t="array" ref="O318">_xlfn.IFS(J318="M", "Medium", J318="L", "Light", J318="D", "Dark", TRUE, "")</f>
        <v>Light</v>
      </c>
      <c r="P318" t="str">
        <f>_xlfn.XLOOKUP(Table1[[#This Row],[Customer ID]], customers!$A$1:$A$1001, customers!$I$1:$I$1001,, 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INDEX(Product!$A$1:$G$49,MATCH(orders!$D319,Product!$A$1:$A$49,0),MATCH(orders!I$1,Product!$A$1:$G$1,0))</f>
        <v>Exc</v>
      </c>
      <c r="J319" t="str">
        <f>INDEX(Product!$A$1:$G$49,MATCH(orders!$D319,Product!$A$1:$A$49,0),MATCH(orders!J$1,Product!$A$1:$G$1,0))</f>
        <v>D</v>
      </c>
      <c r="K319" s="4">
        <f>INDEX(Product!$A$1:$G$49,MATCH(orders!$D319,Product!$A$1:$A$49,0),MATCH(orders!K$1,Product!$A$1:$G$1,0))</f>
        <v>0.5</v>
      </c>
      <c r="L319" s="5">
        <f>INDEX(Product!$A$1:$G$49,MATCH(orders!$D319,Product!$A$1:$A$49,0),MATCH(orders!L$1,Product!$A$1:$G$1,0))</f>
        <v>7.29</v>
      </c>
      <c r="M319" s="5">
        <f t="shared" si="4"/>
        <v>21.87</v>
      </c>
      <c r="N319" t="str" cm="1">
        <f t="array" ref="N319">_xlfn.IFS(I319="Rob", "Robusta", I319="Exc", "Excelsa", I319="Ara", "Arabica", I319="Lib", "Liberica", TRUE, "")</f>
        <v>Excelsa</v>
      </c>
      <c r="O319" t="str" cm="1">
        <f t="array" ref="O319">_xlfn.IFS(J319="M", "Medium", J319="L", "Light", J319="D", "Dark", TRUE, "")</f>
        <v>Dark</v>
      </c>
      <c r="P319" t="str">
        <f>_xlfn.XLOOKUP(Table1[[#This Row],[Customer ID]], customers!$A$1:$A$1001, customers!$I$1:$I$1001,, 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INDEX(Product!$A$1:$G$49,MATCH(orders!$D320,Product!$A$1:$A$49,0),MATCH(orders!I$1,Product!$A$1:$G$1,0))</f>
        <v>Ara</v>
      </c>
      <c r="J320" t="str">
        <f>INDEX(Product!$A$1:$G$49,MATCH(orders!$D320,Product!$A$1:$A$49,0),MATCH(orders!J$1,Product!$A$1:$G$1,0))</f>
        <v>M</v>
      </c>
      <c r="K320" s="4">
        <f>INDEX(Product!$A$1:$G$49,MATCH(orders!$D320,Product!$A$1:$A$49,0),MATCH(orders!K$1,Product!$A$1:$G$1,0))</f>
        <v>2.5</v>
      </c>
      <c r="L320" s="5">
        <f>INDEX(Product!$A$1:$G$49,MATCH(orders!$D320,Product!$A$1:$A$49,0),MATCH(orders!L$1,Product!$A$1:$G$1,0))</f>
        <v>25.874999999999996</v>
      </c>
      <c r="M320" s="5">
        <f t="shared" si="4"/>
        <v>51.749999999999993</v>
      </c>
      <c r="N320" t="str" cm="1">
        <f t="array" ref="N320">_xlfn.IFS(I320="Rob", "Robusta", I320="Exc", "Excelsa", I320="Ara", "Arabica", I320="Lib", "Liberica", TRUE, "")</f>
        <v>Arabica</v>
      </c>
      <c r="O320" t="str" cm="1">
        <f t="array" ref="O320">_xlfn.IFS(J320="M", "Medium", J320="L", "Light", J320="D", "Dark", TRUE, "")</f>
        <v>Medium</v>
      </c>
      <c r="P320" t="str">
        <f>_xlfn.XLOOKUP(Table1[[#This Row],[Customer ID]], customers!$A$1:$A$1001, customers!$I$1:$I$1001,, 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INDEX(Product!$A$1:$G$49,MATCH(orders!$D321,Product!$A$1:$A$49,0),MATCH(orders!I$1,Product!$A$1:$G$1,0))</f>
        <v>Exc</v>
      </c>
      <c r="J321" t="str">
        <f>INDEX(Product!$A$1:$G$49,MATCH(orders!$D321,Product!$A$1:$A$49,0),MATCH(orders!J$1,Product!$A$1:$G$1,0))</f>
        <v>M</v>
      </c>
      <c r="K321" s="4">
        <f>INDEX(Product!$A$1:$G$49,MATCH(orders!$D321,Product!$A$1:$A$49,0),MATCH(orders!K$1,Product!$A$1:$G$1,0))</f>
        <v>0.2</v>
      </c>
      <c r="L321" s="5">
        <f>INDEX(Product!$A$1:$G$49,MATCH(orders!$D321,Product!$A$1:$A$49,0),MATCH(orders!L$1,Product!$A$1:$G$1,0))</f>
        <v>4.125</v>
      </c>
      <c r="M321" s="5">
        <f t="shared" si="4"/>
        <v>8.25</v>
      </c>
      <c r="N321" t="str" cm="1">
        <f t="array" ref="N321">_xlfn.IFS(I321="Rob", "Robusta", I321="Exc", "Excelsa", I321="Ara", "Arabica", I321="Lib", "Liberica", TRUE, "")</f>
        <v>Excelsa</v>
      </c>
      <c r="O321" t="str" cm="1">
        <f t="array" ref="O321">_xlfn.IFS(J321="M", "Medium", J321="L", "Light", J321="D", "Dark", TRUE, "")</f>
        <v>Medium</v>
      </c>
      <c r="P321" t="str">
        <f>_xlfn.XLOOKUP(Table1[[#This Row],[Customer ID]], customers!$A$1:$A$1001, customers!$I$1:$I$1001,, 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INDEX(Product!$A$1:$G$49,MATCH(orders!$D322,Product!$A$1:$A$49,0),MATCH(orders!I$1,Product!$A$1:$G$1,0))</f>
        <v>Ara</v>
      </c>
      <c r="J322" t="str">
        <f>INDEX(Product!$A$1:$G$49,MATCH(orders!$D322,Product!$A$1:$A$49,0),MATCH(orders!J$1,Product!$A$1:$G$1,0))</f>
        <v>L</v>
      </c>
      <c r="K322" s="4">
        <f>INDEX(Product!$A$1:$G$49,MATCH(orders!$D322,Product!$A$1:$A$49,0),MATCH(orders!K$1,Product!$A$1:$G$1,0))</f>
        <v>0.2</v>
      </c>
      <c r="L322" s="5">
        <f>INDEX(Product!$A$1:$G$49,MATCH(orders!$D322,Product!$A$1:$A$49,0),MATCH(orders!L$1,Product!$A$1:$G$1,0))</f>
        <v>3.8849999999999998</v>
      </c>
      <c r="M322" s="5">
        <f t="shared" ref="M322:M385" si="5">L322*E322</f>
        <v>19.424999999999997</v>
      </c>
      <c r="N322" t="str" cm="1">
        <f t="array" ref="N322">_xlfn.IFS(I322="Rob", "Robusta", I322="Exc", "Excelsa", I322="Ara", "Arabica", I322="Lib", "Liberica", TRUE, "")</f>
        <v>Arabica</v>
      </c>
      <c r="O322" t="str" cm="1">
        <f t="array" ref="O322">_xlfn.IFS(J322="M", "Medium", J322="L", "Light", J322="D", "Dark", TRUE, "")</f>
        <v>Light</v>
      </c>
      <c r="P322" t="str">
        <f>_xlfn.XLOOKUP(Table1[[#This Row],[Customer ID]], customers!$A$1:$A$1001, customers!$I$1:$I$1001,, 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INDEX(Product!$A$1:$G$49,MATCH(orders!$D323,Product!$A$1:$A$49,0),MATCH(orders!I$1,Product!$A$1:$G$1,0))</f>
        <v>Ara</v>
      </c>
      <c r="J323" t="str">
        <f>INDEX(Product!$A$1:$G$49,MATCH(orders!$D323,Product!$A$1:$A$49,0),MATCH(orders!J$1,Product!$A$1:$G$1,0))</f>
        <v>M</v>
      </c>
      <c r="K323" s="4">
        <f>INDEX(Product!$A$1:$G$49,MATCH(orders!$D323,Product!$A$1:$A$49,0),MATCH(orders!K$1,Product!$A$1:$G$1,0))</f>
        <v>0.2</v>
      </c>
      <c r="L323" s="5">
        <f>INDEX(Product!$A$1:$G$49,MATCH(orders!$D323,Product!$A$1:$A$49,0),MATCH(orders!L$1,Product!$A$1:$G$1,0))</f>
        <v>3.375</v>
      </c>
      <c r="M323" s="5">
        <f t="shared" si="5"/>
        <v>20.25</v>
      </c>
      <c r="N323" t="str" cm="1">
        <f t="array" ref="N323">_xlfn.IFS(I323="Rob", "Robusta", I323="Exc", "Excelsa", I323="Ara", "Arabica", I323="Lib", "Liberica", TRUE, "")</f>
        <v>Arabica</v>
      </c>
      <c r="O323" t="str" cm="1">
        <f t="array" ref="O323">_xlfn.IFS(J323="M", "Medium", J323="L", "Light", J323="D", "Dark", TRUE, "")</f>
        <v>Medium</v>
      </c>
      <c r="P323" t="str">
        <f>_xlfn.XLOOKUP(Table1[[#This Row],[Customer ID]], customers!$A$1:$A$1001, customers!$I$1:$I$1001,, 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INDEX(Product!$A$1:$G$49,MATCH(orders!$D324,Product!$A$1:$A$49,0),MATCH(orders!I$1,Product!$A$1:$G$1,0))</f>
        <v>Lib</v>
      </c>
      <c r="J324" t="str">
        <f>INDEX(Product!$A$1:$G$49,MATCH(orders!$D324,Product!$A$1:$A$49,0),MATCH(orders!J$1,Product!$A$1:$G$1,0))</f>
        <v>D</v>
      </c>
      <c r="K324" s="4">
        <f>INDEX(Product!$A$1:$G$49,MATCH(orders!$D324,Product!$A$1:$A$49,0),MATCH(orders!K$1,Product!$A$1:$G$1,0))</f>
        <v>0.5</v>
      </c>
      <c r="L324" s="5">
        <f>INDEX(Product!$A$1:$G$49,MATCH(orders!$D324,Product!$A$1:$A$49,0),MATCH(orders!L$1,Product!$A$1:$G$1,0))</f>
        <v>7.77</v>
      </c>
      <c r="M324" s="5">
        <f t="shared" si="5"/>
        <v>23.31</v>
      </c>
      <c r="N324" t="str" cm="1">
        <f t="array" ref="N324">_xlfn.IFS(I324="Rob", "Robusta", I324="Exc", "Excelsa", I324="Ara", "Arabica", I324="Lib", "Liberica", TRUE, "")</f>
        <v>Liberica</v>
      </c>
      <c r="O324" t="str" cm="1">
        <f t="array" ref="O324">_xlfn.IFS(J324="M", "Medium", J324="L", "Light", J324="D", "Dark", TRUE, "")</f>
        <v>Dark</v>
      </c>
      <c r="P324" t="str">
        <f>_xlfn.XLOOKUP(Table1[[#This Row],[Customer ID]], customers!$A$1:$A$1001, customers!$I$1:$I$1001,, 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INDEX(Product!$A$1:$G$49,MATCH(orders!$D325,Product!$A$1:$A$49,0),MATCH(orders!I$1,Product!$A$1:$G$1,0))</f>
        <v>Exc</v>
      </c>
      <c r="J325" t="str">
        <f>INDEX(Product!$A$1:$G$49,MATCH(orders!$D325,Product!$A$1:$A$49,0),MATCH(orders!J$1,Product!$A$1:$G$1,0))</f>
        <v>D</v>
      </c>
      <c r="K325" s="4">
        <f>INDEX(Product!$A$1:$G$49,MATCH(orders!$D325,Product!$A$1:$A$49,0),MATCH(orders!K$1,Product!$A$1:$G$1,0))</f>
        <v>0.2</v>
      </c>
      <c r="L325" s="5">
        <f>INDEX(Product!$A$1:$G$49,MATCH(orders!$D325,Product!$A$1:$A$49,0),MATCH(orders!L$1,Product!$A$1:$G$1,0))</f>
        <v>3.645</v>
      </c>
      <c r="M325" s="5">
        <f t="shared" si="5"/>
        <v>18.225000000000001</v>
      </c>
      <c r="N325" t="str" cm="1">
        <f t="array" ref="N325">_xlfn.IFS(I325="Rob", "Robusta", I325="Exc", "Excelsa", I325="Ara", "Arabica", I325="Lib", "Liberica", TRUE, "")</f>
        <v>Excelsa</v>
      </c>
      <c r="O325" t="str" cm="1">
        <f t="array" ref="O325">_xlfn.IFS(J325="M", "Medium", J325="L", "Light", J325="D", "Dark", TRUE, "")</f>
        <v>Dark</v>
      </c>
      <c r="P325" t="str">
        <f>_xlfn.XLOOKUP(Table1[[#This Row],[Customer ID]], customers!$A$1:$A$1001, customers!$I$1:$I$1001,, 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INDEX(Product!$A$1:$G$49,MATCH(orders!$D326,Product!$A$1:$A$49,0),MATCH(orders!I$1,Product!$A$1:$G$1,0))</f>
        <v>Exc</v>
      </c>
      <c r="J326" t="str">
        <f>INDEX(Product!$A$1:$G$49,MATCH(orders!$D326,Product!$A$1:$A$49,0),MATCH(orders!J$1,Product!$A$1:$G$1,0))</f>
        <v>M</v>
      </c>
      <c r="K326" s="4">
        <f>INDEX(Product!$A$1:$G$49,MATCH(orders!$D326,Product!$A$1:$A$49,0),MATCH(orders!K$1,Product!$A$1:$G$1,0))</f>
        <v>1</v>
      </c>
      <c r="L326" s="5">
        <f>INDEX(Product!$A$1:$G$49,MATCH(orders!$D326,Product!$A$1:$A$49,0),MATCH(orders!L$1,Product!$A$1:$G$1,0))</f>
        <v>13.75</v>
      </c>
      <c r="M326" s="5">
        <f t="shared" si="5"/>
        <v>13.75</v>
      </c>
      <c r="N326" t="str" cm="1">
        <f t="array" ref="N326">_xlfn.IFS(I326="Rob", "Robusta", I326="Exc", "Excelsa", I326="Ara", "Arabica", I326="Lib", "Liberica", TRUE, "")</f>
        <v>Excelsa</v>
      </c>
      <c r="O326" t="str" cm="1">
        <f t="array" ref="O326">_xlfn.IFS(J326="M", "Medium", J326="L", "Light", J326="D", "Dark", TRUE, "")</f>
        <v>Medium</v>
      </c>
      <c r="P326" t="str">
        <f>_xlfn.XLOOKUP(Table1[[#This Row],[Customer ID]], customers!$A$1:$A$1001, customers!$I$1:$I$1001,, 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INDEX(Product!$A$1:$G$49,MATCH(orders!$D327,Product!$A$1:$A$49,0),MATCH(orders!I$1,Product!$A$1:$G$1,0))</f>
        <v>Ara</v>
      </c>
      <c r="J327" t="str">
        <f>INDEX(Product!$A$1:$G$49,MATCH(orders!$D327,Product!$A$1:$A$49,0),MATCH(orders!J$1,Product!$A$1:$G$1,0))</f>
        <v>L</v>
      </c>
      <c r="K327" s="4">
        <f>INDEX(Product!$A$1:$G$49,MATCH(orders!$D327,Product!$A$1:$A$49,0),MATCH(orders!K$1,Product!$A$1:$G$1,0))</f>
        <v>2.5</v>
      </c>
      <c r="L327" s="5">
        <f>INDEX(Product!$A$1:$G$49,MATCH(orders!$D327,Product!$A$1:$A$49,0),MATCH(orders!L$1,Product!$A$1:$G$1,0))</f>
        <v>29.784999999999997</v>
      </c>
      <c r="M327" s="5">
        <f t="shared" si="5"/>
        <v>29.784999999999997</v>
      </c>
      <c r="N327" t="str" cm="1">
        <f t="array" ref="N327">_xlfn.IFS(I327="Rob", "Robusta", I327="Exc", "Excelsa", I327="Ara", "Arabica", I327="Lib", "Liberica", TRUE, "")</f>
        <v>Arabica</v>
      </c>
      <c r="O327" t="str" cm="1">
        <f t="array" ref="O327">_xlfn.IFS(J327="M", "Medium", J327="L", "Light", J327="D", "Dark", TRUE, "")</f>
        <v>Light</v>
      </c>
      <c r="P327" t="str">
        <f>_xlfn.XLOOKUP(Table1[[#This Row],[Customer ID]], customers!$A$1:$A$1001, customers!$I$1:$I$1001,, 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INDEX(Product!$A$1:$G$49,MATCH(orders!$D328,Product!$A$1:$A$49,0),MATCH(orders!I$1,Product!$A$1:$G$1,0))</f>
        <v>Rob</v>
      </c>
      <c r="J328" t="str">
        <f>INDEX(Product!$A$1:$G$49,MATCH(orders!$D328,Product!$A$1:$A$49,0),MATCH(orders!J$1,Product!$A$1:$G$1,0))</f>
        <v>D</v>
      </c>
      <c r="K328" s="4">
        <f>INDEX(Product!$A$1:$G$49,MATCH(orders!$D328,Product!$A$1:$A$49,0),MATCH(orders!K$1,Product!$A$1:$G$1,0))</f>
        <v>1</v>
      </c>
      <c r="L328" s="5">
        <f>INDEX(Product!$A$1:$G$49,MATCH(orders!$D328,Product!$A$1:$A$49,0),MATCH(orders!L$1,Product!$A$1:$G$1,0))</f>
        <v>8.9499999999999993</v>
      </c>
      <c r="M328" s="5">
        <f t="shared" si="5"/>
        <v>44.75</v>
      </c>
      <c r="N328" t="str" cm="1">
        <f t="array" ref="N328">_xlfn.IFS(I328="Rob", "Robusta", I328="Exc", "Excelsa", I328="Ara", "Arabica", I328="Lib", "Liberica", TRUE, "")</f>
        <v>Robusta</v>
      </c>
      <c r="O328" t="str" cm="1">
        <f t="array" ref="O328">_xlfn.IFS(J328="M", "Medium", J328="L", "Light", J328="D", "Dark", TRUE, "")</f>
        <v>Dark</v>
      </c>
      <c r="P328" t="str">
        <f>_xlfn.XLOOKUP(Table1[[#This Row],[Customer ID]], customers!$A$1:$A$1001, customers!$I$1:$I$1001,, 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INDEX(Product!$A$1:$G$49,MATCH(orders!$D329,Product!$A$1:$A$49,0),MATCH(orders!I$1,Product!$A$1:$G$1,0))</f>
        <v>Rob</v>
      </c>
      <c r="J329" t="str">
        <f>INDEX(Product!$A$1:$G$49,MATCH(orders!$D329,Product!$A$1:$A$49,0),MATCH(orders!J$1,Product!$A$1:$G$1,0))</f>
        <v>D</v>
      </c>
      <c r="K329" s="4">
        <f>INDEX(Product!$A$1:$G$49,MATCH(orders!$D329,Product!$A$1:$A$49,0),MATCH(orders!K$1,Product!$A$1:$G$1,0))</f>
        <v>1</v>
      </c>
      <c r="L329" s="5">
        <f>INDEX(Product!$A$1:$G$49,MATCH(orders!$D329,Product!$A$1:$A$49,0),MATCH(orders!L$1,Product!$A$1:$G$1,0))</f>
        <v>8.9499999999999993</v>
      </c>
      <c r="M329" s="5">
        <f t="shared" si="5"/>
        <v>44.75</v>
      </c>
      <c r="N329" t="str" cm="1">
        <f t="array" ref="N329">_xlfn.IFS(I329="Rob", "Robusta", I329="Exc", "Excelsa", I329="Ara", "Arabica", I329="Lib", "Liberica", TRUE, "")</f>
        <v>Robusta</v>
      </c>
      <c r="O329" t="str" cm="1">
        <f t="array" ref="O329">_xlfn.IFS(J329="M", "Medium", J329="L", "Light", J329="D", "Dark", TRUE, "")</f>
        <v>Dark</v>
      </c>
      <c r="P329" t="str">
        <f>_xlfn.XLOOKUP(Table1[[#This Row],[Customer ID]], customers!$A$1:$A$1001, customers!$I$1:$I$1001,, 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INDEX(Product!$A$1:$G$49,MATCH(orders!$D330,Product!$A$1:$A$49,0),MATCH(orders!I$1,Product!$A$1:$G$1,0))</f>
        <v>Lib</v>
      </c>
      <c r="J330" t="str">
        <f>INDEX(Product!$A$1:$G$49,MATCH(orders!$D330,Product!$A$1:$A$49,0),MATCH(orders!J$1,Product!$A$1:$G$1,0))</f>
        <v>L</v>
      </c>
      <c r="K330" s="4">
        <f>INDEX(Product!$A$1:$G$49,MATCH(orders!$D330,Product!$A$1:$A$49,0),MATCH(orders!K$1,Product!$A$1:$G$1,0))</f>
        <v>0.5</v>
      </c>
      <c r="L330" s="5">
        <f>INDEX(Product!$A$1:$G$49,MATCH(orders!$D330,Product!$A$1:$A$49,0),MATCH(orders!L$1,Product!$A$1:$G$1,0))</f>
        <v>9.51</v>
      </c>
      <c r="M330" s="5">
        <f t="shared" si="5"/>
        <v>38.04</v>
      </c>
      <c r="N330" t="str" cm="1">
        <f t="array" ref="N330">_xlfn.IFS(I330="Rob", "Robusta", I330="Exc", "Excelsa", I330="Ara", "Arabica", I330="Lib", "Liberica", TRUE, "")</f>
        <v>Liberica</v>
      </c>
      <c r="O330" t="str" cm="1">
        <f t="array" ref="O330">_xlfn.IFS(J330="M", "Medium", J330="L", "Light", J330="D", "Dark", TRUE, "")</f>
        <v>Light</v>
      </c>
      <c r="P330" t="str">
        <f>_xlfn.XLOOKUP(Table1[[#This Row],[Customer ID]], customers!$A$1:$A$1001, customers!$I$1:$I$1001,, 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INDEX(Product!$A$1:$G$49,MATCH(orders!$D331,Product!$A$1:$A$49,0),MATCH(orders!I$1,Product!$A$1:$G$1,0))</f>
        <v>Rob</v>
      </c>
      <c r="J331" t="str">
        <f>INDEX(Product!$A$1:$G$49,MATCH(orders!$D331,Product!$A$1:$A$49,0),MATCH(orders!J$1,Product!$A$1:$G$1,0))</f>
        <v>D</v>
      </c>
      <c r="K331" s="4">
        <f>INDEX(Product!$A$1:$G$49,MATCH(orders!$D331,Product!$A$1:$A$49,0),MATCH(orders!K$1,Product!$A$1:$G$1,0))</f>
        <v>0.5</v>
      </c>
      <c r="L331" s="5">
        <f>INDEX(Product!$A$1:$G$49,MATCH(orders!$D331,Product!$A$1:$A$49,0),MATCH(orders!L$1,Product!$A$1:$G$1,0))</f>
        <v>5.3699999999999992</v>
      </c>
      <c r="M331" s="5">
        <f t="shared" si="5"/>
        <v>21.479999999999997</v>
      </c>
      <c r="N331" t="str" cm="1">
        <f t="array" ref="N331">_xlfn.IFS(I331="Rob", "Robusta", I331="Exc", "Excelsa", I331="Ara", "Arabica", I331="Lib", "Liberica", TRUE, "")</f>
        <v>Robusta</v>
      </c>
      <c r="O331" t="str" cm="1">
        <f t="array" ref="O331">_xlfn.IFS(J331="M", "Medium", J331="L", "Light", J331="D", "Dark", TRUE, "")</f>
        <v>Dark</v>
      </c>
      <c r="P331" t="str">
        <f>_xlfn.XLOOKUP(Table1[[#This Row],[Customer ID]], customers!$A$1:$A$1001, customers!$I$1:$I$1001,, 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INDEX(Product!$A$1:$G$49,MATCH(orders!$D332,Product!$A$1:$A$49,0),MATCH(orders!I$1,Product!$A$1:$G$1,0))</f>
        <v>Rob</v>
      </c>
      <c r="J332" t="str">
        <f>INDEX(Product!$A$1:$G$49,MATCH(orders!$D332,Product!$A$1:$A$49,0),MATCH(orders!J$1,Product!$A$1:$G$1,0))</f>
        <v>D</v>
      </c>
      <c r="K332" s="4">
        <f>INDEX(Product!$A$1:$G$49,MATCH(orders!$D332,Product!$A$1:$A$49,0),MATCH(orders!K$1,Product!$A$1:$G$1,0))</f>
        <v>0.5</v>
      </c>
      <c r="L332" s="5">
        <f>INDEX(Product!$A$1:$G$49,MATCH(orders!$D332,Product!$A$1:$A$49,0),MATCH(orders!L$1,Product!$A$1:$G$1,0))</f>
        <v>5.3699999999999992</v>
      </c>
      <c r="M332" s="5">
        <f t="shared" si="5"/>
        <v>16.11</v>
      </c>
      <c r="N332" t="str" cm="1">
        <f t="array" ref="N332">_xlfn.IFS(I332="Rob", "Robusta", I332="Exc", "Excelsa", I332="Ara", "Arabica", I332="Lib", "Liberica", TRUE, "")</f>
        <v>Robusta</v>
      </c>
      <c r="O332" t="str" cm="1">
        <f t="array" ref="O332">_xlfn.IFS(J332="M", "Medium", J332="L", "Light", J332="D", "Dark", TRUE, "")</f>
        <v>Dark</v>
      </c>
      <c r="P332" t="str">
        <f>_xlfn.XLOOKUP(Table1[[#This Row],[Customer ID]], customers!$A$1:$A$1001, customers!$I$1:$I$1001,, 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INDEX(Product!$A$1:$G$49,MATCH(orders!$D333,Product!$A$1:$A$49,0),MATCH(orders!I$1,Product!$A$1:$G$1,0))</f>
        <v>Rob</v>
      </c>
      <c r="J333" t="str">
        <f>INDEX(Product!$A$1:$G$49,MATCH(orders!$D333,Product!$A$1:$A$49,0),MATCH(orders!J$1,Product!$A$1:$G$1,0))</f>
        <v>M</v>
      </c>
      <c r="K333" s="4">
        <f>INDEX(Product!$A$1:$G$49,MATCH(orders!$D333,Product!$A$1:$A$49,0),MATCH(orders!K$1,Product!$A$1:$G$1,0))</f>
        <v>2.5</v>
      </c>
      <c r="L333" s="5">
        <f>INDEX(Product!$A$1:$G$49,MATCH(orders!$D333,Product!$A$1:$A$49,0),MATCH(orders!L$1,Product!$A$1:$G$1,0))</f>
        <v>22.884999999999998</v>
      </c>
      <c r="M333" s="5">
        <f t="shared" si="5"/>
        <v>22.884999999999998</v>
      </c>
      <c r="N333" t="str" cm="1">
        <f t="array" ref="N333">_xlfn.IFS(I333="Rob", "Robusta", I333="Exc", "Excelsa", I333="Ara", "Arabica", I333="Lib", "Liberica", TRUE, "")</f>
        <v>Robusta</v>
      </c>
      <c r="O333" t="str" cm="1">
        <f t="array" ref="O333">_xlfn.IFS(J333="M", "Medium", J333="L", "Light", J333="D", "Dark", TRUE, "")</f>
        <v>Medium</v>
      </c>
      <c r="P333" t="str">
        <f>_xlfn.XLOOKUP(Table1[[#This Row],[Customer ID]], customers!$A$1:$A$1001, customers!$I$1:$I$1001,, 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INDEX(Product!$A$1:$G$49,MATCH(orders!$D334,Product!$A$1:$A$49,0),MATCH(orders!I$1,Product!$A$1:$G$1,0))</f>
        <v>Ara</v>
      </c>
      <c r="J334" t="str">
        <f>INDEX(Product!$A$1:$G$49,MATCH(orders!$D334,Product!$A$1:$A$49,0),MATCH(orders!J$1,Product!$A$1:$G$1,0))</f>
        <v>D</v>
      </c>
      <c r="K334" s="4">
        <f>INDEX(Product!$A$1:$G$49,MATCH(orders!$D334,Product!$A$1:$A$49,0),MATCH(orders!K$1,Product!$A$1:$G$1,0))</f>
        <v>0.5</v>
      </c>
      <c r="L334" s="5">
        <f>INDEX(Product!$A$1:$G$49,MATCH(orders!$D334,Product!$A$1:$A$49,0),MATCH(orders!L$1,Product!$A$1:$G$1,0))</f>
        <v>5.97</v>
      </c>
      <c r="M334" s="5">
        <f t="shared" si="5"/>
        <v>17.91</v>
      </c>
      <c r="N334" t="str" cm="1">
        <f t="array" ref="N334">_xlfn.IFS(I334="Rob", "Robusta", I334="Exc", "Excelsa", I334="Ara", "Arabica", I334="Lib", "Liberica", TRUE, "")</f>
        <v>Arabica</v>
      </c>
      <c r="O334" t="str" cm="1">
        <f t="array" ref="O334">_xlfn.IFS(J334="M", "Medium", J334="L", "Light", J334="D", "Dark", TRUE, "")</f>
        <v>Dark</v>
      </c>
      <c r="P334" t="str">
        <f>_xlfn.XLOOKUP(Table1[[#This Row],[Customer ID]], customers!$A$1:$A$1001, customers!$I$1:$I$1001,, 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INDEX(Product!$A$1:$G$49,MATCH(orders!$D335,Product!$A$1:$A$49,0),MATCH(orders!I$1,Product!$A$1:$G$1,0))</f>
        <v>Rob</v>
      </c>
      <c r="J335" t="str">
        <f>INDEX(Product!$A$1:$G$49,MATCH(orders!$D335,Product!$A$1:$A$49,0),MATCH(orders!J$1,Product!$A$1:$G$1,0))</f>
        <v>M</v>
      </c>
      <c r="K335" s="4">
        <f>INDEX(Product!$A$1:$G$49,MATCH(orders!$D335,Product!$A$1:$A$49,0),MATCH(orders!K$1,Product!$A$1:$G$1,0))</f>
        <v>0.5</v>
      </c>
      <c r="L335" s="5">
        <f>INDEX(Product!$A$1:$G$49,MATCH(orders!$D335,Product!$A$1:$A$49,0),MATCH(orders!L$1,Product!$A$1:$G$1,0))</f>
        <v>5.97</v>
      </c>
      <c r="M335" s="5">
        <f t="shared" si="5"/>
        <v>23.88</v>
      </c>
      <c r="N335" t="str" cm="1">
        <f t="array" ref="N335">_xlfn.IFS(I335="Rob", "Robusta", I335="Exc", "Excelsa", I335="Ara", "Arabica", I335="Lib", "Liberica", TRUE, "")</f>
        <v>Robusta</v>
      </c>
      <c r="O335" t="str" cm="1">
        <f t="array" ref="O335">_xlfn.IFS(J335="M", "Medium", J335="L", "Light", J335="D", "Dark", TRUE, "")</f>
        <v>Medium</v>
      </c>
      <c r="P335" t="str">
        <f>_xlfn.XLOOKUP(Table1[[#This Row],[Customer ID]], customers!$A$1:$A$1001, customers!$I$1:$I$1001,, 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INDEX(Product!$A$1:$G$49,MATCH(orders!$D336,Product!$A$1:$A$49,0),MATCH(orders!I$1,Product!$A$1:$G$1,0))</f>
        <v>Rob</v>
      </c>
      <c r="J336" t="str">
        <f>INDEX(Product!$A$1:$G$49,MATCH(orders!$D336,Product!$A$1:$A$49,0),MATCH(orders!J$1,Product!$A$1:$G$1,0))</f>
        <v>L</v>
      </c>
      <c r="K336" s="4">
        <f>INDEX(Product!$A$1:$G$49,MATCH(orders!$D336,Product!$A$1:$A$49,0),MATCH(orders!K$1,Product!$A$1:$G$1,0))</f>
        <v>1</v>
      </c>
      <c r="L336" s="5">
        <f>INDEX(Product!$A$1:$G$49,MATCH(orders!$D336,Product!$A$1:$A$49,0),MATCH(orders!L$1,Product!$A$1:$G$1,0))</f>
        <v>11.95</v>
      </c>
      <c r="M336" s="5">
        <f t="shared" si="5"/>
        <v>59.75</v>
      </c>
      <c r="N336" t="str" cm="1">
        <f t="array" ref="N336">_xlfn.IFS(I336="Rob", "Robusta", I336="Exc", "Excelsa", I336="Ara", "Arabica", I336="Lib", "Liberica", TRUE, "")</f>
        <v>Robusta</v>
      </c>
      <c r="O336" t="str" cm="1">
        <f t="array" ref="O336">_xlfn.IFS(J336="M", "Medium", J336="L", "Light", J336="D", "Dark", TRUE, "")</f>
        <v>Light</v>
      </c>
      <c r="P336" t="str">
        <f>_xlfn.XLOOKUP(Table1[[#This Row],[Customer ID]], customers!$A$1:$A$1001, customers!$I$1:$I$1001,, 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INDEX(Product!$A$1:$G$49,MATCH(orders!$D337,Product!$A$1:$A$49,0),MATCH(orders!I$1,Product!$A$1:$G$1,0))</f>
        <v>Lib</v>
      </c>
      <c r="J337" t="str">
        <f>INDEX(Product!$A$1:$G$49,MATCH(orders!$D337,Product!$A$1:$A$49,0),MATCH(orders!J$1,Product!$A$1:$G$1,0))</f>
        <v>L</v>
      </c>
      <c r="K337" s="4">
        <f>INDEX(Product!$A$1:$G$49,MATCH(orders!$D337,Product!$A$1:$A$49,0),MATCH(orders!K$1,Product!$A$1:$G$1,0))</f>
        <v>0.2</v>
      </c>
      <c r="L337" s="5">
        <f>INDEX(Product!$A$1:$G$49,MATCH(orders!$D337,Product!$A$1:$A$49,0),MATCH(orders!L$1,Product!$A$1:$G$1,0))</f>
        <v>4.7549999999999999</v>
      </c>
      <c r="M337" s="5">
        <f t="shared" si="5"/>
        <v>28.53</v>
      </c>
      <c r="N337" t="str" cm="1">
        <f t="array" ref="N337">_xlfn.IFS(I337="Rob", "Robusta", I337="Exc", "Excelsa", I337="Ara", "Arabica", I337="Lib", "Liberica", TRUE, "")</f>
        <v>Liberica</v>
      </c>
      <c r="O337" t="str" cm="1">
        <f t="array" ref="O337">_xlfn.IFS(J337="M", "Medium", J337="L", "Light", J337="D", "Dark", TRUE, "")</f>
        <v>Light</v>
      </c>
      <c r="P337" t="str">
        <f>_xlfn.XLOOKUP(Table1[[#This Row],[Customer ID]], customers!$A$1:$A$1001, customers!$I$1:$I$1001,, 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INDEX(Product!$A$1:$G$49,MATCH(orders!$D338,Product!$A$1:$A$49,0),MATCH(orders!I$1,Product!$A$1:$G$1,0))</f>
        <v>Ara</v>
      </c>
      <c r="J338" t="str">
        <f>INDEX(Product!$A$1:$G$49,MATCH(orders!$D338,Product!$A$1:$A$49,0),MATCH(orders!J$1,Product!$A$1:$G$1,0))</f>
        <v>M</v>
      </c>
      <c r="K338" s="4">
        <f>INDEX(Product!$A$1:$G$49,MATCH(orders!$D338,Product!$A$1:$A$49,0),MATCH(orders!K$1,Product!$A$1:$G$1,0))</f>
        <v>1</v>
      </c>
      <c r="L338" s="5">
        <f>INDEX(Product!$A$1:$G$49,MATCH(orders!$D338,Product!$A$1:$A$49,0),MATCH(orders!L$1,Product!$A$1:$G$1,0))</f>
        <v>11.25</v>
      </c>
      <c r="M338" s="5">
        <f t="shared" si="5"/>
        <v>45</v>
      </c>
      <c r="N338" t="str" cm="1">
        <f t="array" ref="N338">_xlfn.IFS(I338="Rob", "Robusta", I338="Exc", "Excelsa", I338="Ara", "Arabica", I338="Lib", "Liberica", TRUE, "")</f>
        <v>Arabica</v>
      </c>
      <c r="O338" t="str" cm="1">
        <f t="array" ref="O338">_xlfn.IFS(J338="M", "Medium", J338="L", "Light", J338="D", "Dark", TRUE, "")</f>
        <v>Medium</v>
      </c>
      <c r="P338" t="str">
        <f>_xlfn.XLOOKUP(Table1[[#This Row],[Customer ID]], customers!$A$1:$A$1001, customers!$I$1:$I$1001,, 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INDEX(Product!$A$1:$G$49,MATCH(orders!$D339,Product!$A$1:$A$49,0),MATCH(orders!I$1,Product!$A$1:$G$1,0))</f>
        <v>Exc</v>
      </c>
      <c r="J339" t="str">
        <f>INDEX(Product!$A$1:$G$49,MATCH(orders!$D339,Product!$A$1:$A$49,0),MATCH(orders!J$1,Product!$A$1:$G$1,0))</f>
        <v>D</v>
      </c>
      <c r="K339" s="4">
        <f>INDEX(Product!$A$1:$G$49,MATCH(orders!$D339,Product!$A$1:$A$49,0),MATCH(orders!K$1,Product!$A$1:$G$1,0))</f>
        <v>2.5</v>
      </c>
      <c r="L339" s="5">
        <f>INDEX(Product!$A$1:$G$49,MATCH(orders!$D339,Product!$A$1:$A$49,0),MATCH(orders!L$1,Product!$A$1:$G$1,0))</f>
        <v>27.945</v>
      </c>
      <c r="M339" s="5">
        <f t="shared" si="5"/>
        <v>55.89</v>
      </c>
      <c r="N339" t="str" cm="1">
        <f t="array" ref="N339">_xlfn.IFS(I339="Rob", "Robusta", I339="Exc", "Excelsa", I339="Ara", "Arabica", I339="Lib", "Liberica", TRUE, "")</f>
        <v>Excelsa</v>
      </c>
      <c r="O339" t="str" cm="1">
        <f t="array" ref="O339">_xlfn.IFS(J339="M", "Medium", J339="L", "Light", J339="D", "Dark", TRUE, "")</f>
        <v>Dark</v>
      </c>
      <c r="P339" t="str">
        <f>_xlfn.XLOOKUP(Table1[[#This Row],[Customer ID]], customers!$A$1:$A$1001, customers!$I$1:$I$1001,, 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INDEX(Product!$A$1:$G$49,MATCH(orders!$D340,Product!$A$1:$A$49,0),MATCH(orders!I$1,Product!$A$1:$G$1,0))</f>
        <v>Exc</v>
      </c>
      <c r="J340" t="str">
        <f>INDEX(Product!$A$1:$G$49,MATCH(orders!$D340,Product!$A$1:$A$49,0),MATCH(orders!J$1,Product!$A$1:$G$1,0))</f>
        <v>L</v>
      </c>
      <c r="K340" s="4">
        <f>INDEX(Product!$A$1:$G$49,MATCH(orders!$D340,Product!$A$1:$A$49,0),MATCH(orders!K$1,Product!$A$1:$G$1,0))</f>
        <v>1</v>
      </c>
      <c r="L340" s="5">
        <f>INDEX(Product!$A$1:$G$49,MATCH(orders!$D340,Product!$A$1:$A$49,0),MATCH(orders!L$1,Product!$A$1:$G$1,0))</f>
        <v>14.85</v>
      </c>
      <c r="M340" s="5">
        <f t="shared" si="5"/>
        <v>59.4</v>
      </c>
      <c r="N340" t="str" cm="1">
        <f t="array" ref="N340">_xlfn.IFS(I340="Rob", "Robusta", I340="Exc", "Excelsa", I340="Ara", "Arabica", I340="Lib", "Liberica", TRUE, "")</f>
        <v>Excelsa</v>
      </c>
      <c r="O340" t="str" cm="1">
        <f t="array" ref="O340">_xlfn.IFS(J340="M", "Medium", J340="L", "Light", J340="D", "Dark", TRUE, "")</f>
        <v>Light</v>
      </c>
      <c r="P340" t="str">
        <f>_xlfn.XLOOKUP(Table1[[#This Row],[Customer ID]], customers!$A$1:$A$1001, customers!$I$1:$I$1001,, 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INDEX(Product!$A$1:$G$49,MATCH(orders!$D341,Product!$A$1:$A$49,0),MATCH(orders!I$1,Product!$A$1:$G$1,0))</f>
        <v>Exc</v>
      </c>
      <c r="J341" t="str">
        <f>INDEX(Product!$A$1:$G$49,MATCH(orders!$D341,Product!$A$1:$A$49,0),MATCH(orders!J$1,Product!$A$1:$G$1,0))</f>
        <v>D</v>
      </c>
      <c r="K341" s="4">
        <f>INDEX(Product!$A$1:$G$49,MATCH(orders!$D341,Product!$A$1:$A$49,0),MATCH(orders!K$1,Product!$A$1:$G$1,0))</f>
        <v>0.2</v>
      </c>
      <c r="L341" s="5">
        <f>INDEX(Product!$A$1:$G$49,MATCH(orders!$D341,Product!$A$1:$A$49,0),MATCH(orders!L$1,Product!$A$1:$G$1,0))</f>
        <v>3.645</v>
      </c>
      <c r="M341" s="5">
        <f t="shared" si="5"/>
        <v>7.29</v>
      </c>
      <c r="N341" t="str" cm="1">
        <f t="array" ref="N341">_xlfn.IFS(I341="Rob", "Robusta", I341="Exc", "Excelsa", I341="Ara", "Arabica", I341="Lib", "Liberica", TRUE, "")</f>
        <v>Excelsa</v>
      </c>
      <c r="O341" t="str" cm="1">
        <f t="array" ref="O341">_xlfn.IFS(J341="M", "Medium", J341="L", "Light", J341="D", "Dark", TRUE, "")</f>
        <v>Dark</v>
      </c>
      <c r="P341" t="str">
        <f>_xlfn.XLOOKUP(Table1[[#This Row],[Customer ID]], customers!$A$1:$A$1001, customers!$I$1:$I$1001,, 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INDEX(Product!$A$1:$G$49,MATCH(orders!$D342,Product!$A$1:$A$49,0),MATCH(orders!I$1,Product!$A$1:$G$1,0))</f>
        <v>Exc</v>
      </c>
      <c r="J342" t="str">
        <f>INDEX(Product!$A$1:$G$49,MATCH(orders!$D342,Product!$A$1:$A$49,0),MATCH(orders!J$1,Product!$A$1:$G$1,0))</f>
        <v>D</v>
      </c>
      <c r="K342" s="4">
        <f>INDEX(Product!$A$1:$G$49,MATCH(orders!$D342,Product!$A$1:$A$49,0),MATCH(orders!K$1,Product!$A$1:$G$1,0))</f>
        <v>0.5</v>
      </c>
      <c r="L342" s="5">
        <f>INDEX(Product!$A$1:$G$49,MATCH(orders!$D342,Product!$A$1:$A$49,0),MATCH(orders!L$1,Product!$A$1:$G$1,0))</f>
        <v>7.29</v>
      </c>
      <c r="M342" s="5">
        <f t="shared" si="5"/>
        <v>7.29</v>
      </c>
      <c r="N342" t="str" cm="1">
        <f t="array" ref="N342">_xlfn.IFS(I342="Rob", "Robusta", I342="Exc", "Excelsa", I342="Ara", "Arabica", I342="Lib", "Liberica", TRUE, "")</f>
        <v>Excelsa</v>
      </c>
      <c r="O342" t="str" cm="1">
        <f t="array" ref="O342">_xlfn.IFS(J342="M", "Medium", J342="L", "Light", J342="D", "Dark", TRUE, "")</f>
        <v>Dark</v>
      </c>
      <c r="P342" t="str">
        <f>_xlfn.XLOOKUP(Table1[[#This Row],[Customer ID]], customers!$A$1:$A$1001, customers!$I$1:$I$1001,, 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INDEX(Product!$A$1:$G$49,MATCH(orders!$D343,Product!$A$1:$A$49,0),MATCH(orders!I$1,Product!$A$1:$G$1,0))</f>
        <v>Exc</v>
      </c>
      <c r="J343" t="str">
        <f>INDEX(Product!$A$1:$G$49,MATCH(orders!$D343,Product!$A$1:$A$49,0),MATCH(orders!J$1,Product!$A$1:$G$1,0))</f>
        <v>L</v>
      </c>
      <c r="K343" s="4">
        <f>INDEX(Product!$A$1:$G$49,MATCH(orders!$D343,Product!$A$1:$A$49,0),MATCH(orders!K$1,Product!$A$1:$G$1,0))</f>
        <v>0.5</v>
      </c>
      <c r="L343" s="5">
        <f>INDEX(Product!$A$1:$G$49,MATCH(orders!$D343,Product!$A$1:$A$49,0),MATCH(orders!L$1,Product!$A$1:$G$1,0))</f>
        <v>8.91</v>
      </c>
      <c r="M343" s="5">
        <f t="shared" si="5"/>
        <v>17.82</v>
      </c>
      <c r="N343" t="str" cm="1">
        <f t="array" ref="N343">_xlfn.IFS(I343="Rob", "Robusta", I343="Exc", "Excelsa", I343="Ara", "Arabica", I343="Lib", "Liberica", TRUE, "")</f>
        <v>Excelsa</v>
      </c>
      <c r="O343" t="str" cm="1">
        <f t="array" ref="O343">_xlfn.IFS(J343="M", "Medium", J343="L", "Light", J343="D", "Dark", TRUE, "")</f>
        <v>Light</v>
      </c>
      <c r="P343" t="str">
        <f>_xlfn.XLOOKUP(Table1[[#This Row],[Customer ID]], customers!$A$1:$A$1001, customers!$I$1:$I$1001,, 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INDEX(Product!$A$1:$G$49,MATCH(orders!$D344,Product!$A$1:$A$49,0),MATCH(orders!I$1,Product!$A$1:$G$1,0))</f>
        <v>Lib</v>
      </c>
      <c r="J344" t="str">
        <f>INDEX(Product!$A$1:$G$49,MATCH(orders!$D344,Product!$A$1:$A$49,0),MATCH(orders!J$1,Product!$A$1:$G$1,0))</f>
        <v>D</v>
      </c>
      <c r="K344" s="4">
        <f>INDEX(Product!$A$1:$G$49,MATCH(orders!$D344,Product!$A$1:$A$49,0),MATCH(orders!K$1,Product!$A$1:$G$1,0))</f>
        <v>0.5</v>
      </c>
      <c r="L344" s="5">
        <f>INDEX(Product!$A$1:$G$49,MATCH(orders!$D344,Product!$A$1:$A$49,0),MATCH(orders!L$1,Product!$A$1:$G$1,0))</f>
        <v>7.77</v>
      </c>
      <c r="M344" s="5">
        <f t="shared" si="5"/>
        <v>38.849999999999994</v>
      </c>
      <c r="N344" t="str" cm="1">
        <f t="array" ref="N344">_xlfn.IFS(I344="Rob", "Robusta", I344="Exc", "Excelsa", I344="Ara", "Arabica", I344="Lib", "Liberica", TRUE, "")</f>
        <v>Liberica</v>
      </c>
      <c r="O344" t="str" cm="1">
        <f t="array" ref="O344">_xlfn.IFS(J344="M", "Medium", J344="L", "Light", J344="D", "Dark", TRUE, "")</f>
        <v>Dark</v>
      </c>
      <c r="P344" t="str">
        <f>_xlfn.XLOOKUP(Table1[[#This Row],[Customer ID]], customers!$A$1:$A$1001, customers!$I$1:$I$1001,, 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INDEX(Product!$A$1:$G$49,MATCH(orders!$D345,Product!$A$1:$A$49,0),MATCH(orders!I$1,Product!$A$1:$G$1,0))</f>
        <v>Rob</v>
      </c>
      <c r="J345" t="str">
        <f>INDEX(Product!$A$1:$G$49,MATCH(orders!$D345,Product!$A$1:$A$49,0),MATCH(orders!J$1,Product!$A$1:$G$1,0))</f>
        <v>D</v>
      </c>
      <c r="K345" s="4">
        <f>INDEX(Product!$A$1:$G$49,MATCH(orders!$D345,Product!$A$1:$A$49,0),MATCH(orders!K$1,Product!$A$1:$G$1,0))</f>
        <v>0.5</v>
      </c>
      <c r="L345" s="5">
        <f>INDEX(Product!$A$1:$G$49,MATCH(orders!$D345,Product!$A$1:$A$49,0),MATCH(orders!L$1,Product!$A$1:$G$1,0))</f>
        <v>5.3699999999999992</v>
      </c>
      <c r="M345" s="5">
        <f t="shared" si="5"/>
        <v>32.22</v>
      </c>
      <c r="N345" t="str" cm="1">
        <f t="array" ref="N345">_xlfn.IFS(I345="Rob", "Robusta", I345="Exc", "Excelsa", I345="Ara", "Arabica", I345="Lib", "Liberica", TRUE, "")</f>
        <v>Robusta</v>
      </c>
      <c r="O345" t="str" cm="1">
        <f t="array" ref="O345">_xlfn.IFS(J345="M", "Medium", J345="L", "Light", J345="D", "Dark", TRUE, "")</f>
        <v>Dark</v>
      </c>
      <c r="P345" t="str">
        <f>_xlfn.XLOOKUP(Table1[[#This Row],[Customer ID]], customers!$A$1:$A$1001, customers!$I$1:$I$1001,, 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INDEX(Product!$A$1:$G$49,MATCH(orders!$D346,Product!$A$1:$A$49,0),MATCH(orders!I$1,Product!$A$1:$G$1,0))</f>
        <v>Rob</v>
      </c>
      <c r="J346" t="str">
        <f>INDEX(Product!$A$1:$G$49,MATCH(orders!$D346,Product!$A$1:$A$49,0),MATCH(orders!J$1,Product!$A$1:$G$1,0))</f>
        <v>M</v>
      </c>
      <c r="K346" s="4">
        <f>INDEX(Product!$A$1:$G$49,MATCH(orders!$D346,Product!$A$1:$A$49,0),MATCH(orders!K$1,Product!$A$1:$G$1,0))</f>
        <v>1</v>
      </c>
      <c r="L346" s="5">
        <f>INDEX(Product!$A$1:$G$49,MATCH(orders!$D346,Product!$A$1:$A$49,0),MATCH(orders!L$1,Product!$A$1:$G$1,0))</f>
        <v>9.9499999999999993</v>
      </c>
      <c r="M346" s="5">
        <f t="shared" si="5"/>
        <v>19.899999999999999</v>
      </c>
      <c r="N346" t="str" cm="1">
        <f t="array" ref="N346">_xlfn.IFS(I346="Rob", "Robusta", I346="Exc", "Excelsa", I346="Ara", "Arabica", I346="Lib", "Liberica", TRUE, "")</f>
        <v>Robusta</v>
      </c>
      <c r="O346" t="str" cm="1">
        <f t="array" ref="O346">_xlfn.IFS(J346="M", "Medium", J346="L", "Light", J346="D", "Dark", TRUE, "")</f>
        <v>Medium</v>
      </c>
      <c r="P346" t="str">
        <f>_xlfn.XLOOKUP(Table1[[#This Row],[Customer ID]], customers!$A$1:$A$1001, customers!$I$1:$I$1001,, 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INDEX(Product!$A$1:$G$49,MATCH(orders!$D347,Product!$A$1:$A$49,0),MATCH(orders!I$1,Product!$A$1:$G$1,0))</f>
        <v>Rob</v>
      </c>
      <c r="J347" t="str">
        <f>INDEX(Product!$A$1:$G$49,MATCH(orders!$D347,Product!$A$1:$A$49,0),MATCH(orders!J$1,Product!$A$1:$G$1,0))</f>
        <v>L</v>
      </c>
      <c r="K347" s="4">
        <f>INDEX(Product!$A$1:$G$49,MATCH(orders!$D347,Product!$A$1:$A$49,0),MATCH(orders!K$1,Product!$A$1:$G$1,0))</f>
        <v>1</v>
      </c>
      <c r="L347" s="5">
        <f>INDEX(Product!$A$1:$G$49,MATCH(orders!$D347,Product!$A$1:$A$49,0),MATCH(orders!L$1,Product!$A$1:$G$1,0))</f>
        <v>11.95</v>
      </c>
      <c r="M347" s="5">
        <f t="shared" si="5"/>
        <v>59.75</v>
      </c>
      <c r="N347" t="str" cm="1">
        <f t="array" ref="N347">_xlfn.IFS(I347="Rob", "Robusta", I347="Exc", "Excelsa", I347="Ara", "Arabica", I347="Lib", "Liberica", TRUE, "")</f>
        <v>Robusta</v>
      </c>
      <c r="O347" t="str" cm="1">
        <f t="array" ref="O347">_xlfn.IFS(J347="M", "Medium", J347="L", "Light", J347="D", "Dark", TRUE, "")</f>
        <v>Light</v>
      </c>
      <c r="P347" t="str">
        <f>_xlfn.XLOOKUP(Table1[[#This Row],[Customer ID]], customers!$A$1:$A$1001, customers!$I$1:$I$1001,, 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INDEX(Product!$A$1:$G$49,MATCH(orders!$D348,Product!$A$1:$A$49,0),MATCH(orders!I$1,Product!$A$1:$G$1,0))</f>
        <v>Ara</v>
      </c>
      <c r="J348" t="str">
        <f>INDEX(Product!$A$1:$G$49,MATCH(orders!$D348,Product!$A$1:$A$49,0),MATCH(orders!J$1,Product!$A$1:$G$1,0))</f>
        <v>L</v>
      </c>
      <c r="K348" s="4">
        <f>INDEX(Product!$A$1:$G$49,MATCH(orders!$D348,Product!$A$1:$A$49,0),MATCH(orders!K$1,Product!$A$1:$G$1,0))</f>
        <v>0.5</v>
      </c>
      <c r="L348" s="5">
        <f>INDEX(Product!$A$1:$G$49,MATCH(orders!$D348,Product!$A$1:$A$49,0),MATCH(orders!L$1,Product!$A$1:$G$1,0))</f>
        <v>7.77</v>
      </c>
      <c r="M348" s="5">
        <f t="shared" si="5"/>
        <v>23.31</v>
      </c>
      <c r="N348" t="str" cm="1">
        <f t="array" ref="N348">_xlfn.IFS(I348="Rob", "Robusta", I348="Exc", "Excelsa", I348="Ara", "Arabica", I348="Lib", "Liberica", TRUE, "")</f>
        <v>Arabica</v>
      </c>
      <c r="O348" t="str" cm="1">
        <f t="array" ref="O348">_xlfn.IFS(J348="M", "Medium", J348="L", "Light", J348="D", "Dark", TRUE, "")</f>
        <v>Light</v>
      </c>
      <c r="P348" t="str">
        <f>_xlfn.XLOOKUP(Table1[[#This Row],[Customer ID]], customers!$A$1:$A$1001, customers!$I$1:$I$1001,, 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INDEX(Product!$A$1:$G$49,MATCH(orders!$D349,Product!$A$1:$A$49,0),MATCH(orders!I$1,Product!$A$1:$G$1,0))</f>
        <v>Lib</v>
      </c>
      <c r="J349" t="str">
        <f>INDEX(Product!$A$1:$G$49,MATCH(orders!$D349,Product!$A$1:$A$49,0),MATCH(orders!J$1,Product!$A$1:$G$1,0))</f>
        <v>M</v>
      </c>
      <c r="K349" s="4">
        <f>INDEX(Product!$A$1:$G$49,MATCH(orders!$D349,Product!$A$1:$A$49,0),MATCH(orders!K$1,Product!$A$1:$G$1,0))</f>
        <v>1</v>
      </c>
      <c r="L349" s="5">
        <f>INDEX(Product!$A$1:$G$49,MATCH(orders!$D349,Product!$A$1:$A$49,0),MATCH(orders!L$1,Product!$A$1:$G$1,0))</f>
        <v>14.55</v>
      </c>
      <c r="M349" s="5">
        <f t="shared" si="5"/>
        <v>43.650000000000006</v>
      </c>
      <c r="N349" t="str" cm="1">
        <f t="array" ref="N349">_xlfn.IFS(I349="Rob", "Robusta", I349="Exc", "Excelsa", I349="Ara", "Arabica", I349="Lib", "Liberica", TRUE, "")</f>
        <v>Liberica</v>
      </c>
      <c r="O349" t="str" cm="1">
        <f t="array" ref="O349">_xlfn.IFS(J349="M", "Medium", J349="L", "Light", J349="D", "Dark", TRUE, "")</f>
        <v>Medium</v>
      </c>
      <c r="P349" t="str">
        <f>_xlfn.XLOOKUP(Table1[[#This Row],[Customer ID]], customers!$A$1:$A$1001, customers!$I$1:$I$1001,, 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INDEX(Product!$A$1:$G$49,MATCH(orders!$D350,Product!$A$1:$A$49,0),MATCH(orders!I$1,Product!$A$1:$G$1,0))</f>
        <v>Exc</v>
      </c>
      <c r="J350" t="str">
        <f>INDEX(Product!$A$1:$G$49,MATCH(orders!$D350,Product!$A$1:$A$49,0),MATCH(orders!J$1,Product!$A$1:$G$1,0))</f>
        <v>L</v>
      </c>
      <c r="K350" s="4">
        <f>INDEX(Product!$A$1:$G$49,MATCH(orders!$D350,Product!$A$1:$A$49,0),MATCH(orders!K$1,Product!$A$1:$G$1,0))</f>
        <v>2.5</v>
      </c>
      <c r="L350" s="5">
        <f>INDEX(Product!$A$1:$G$49,MATCH(orders!$D350,Product!$A$1:$A$49,0),MATCH(orders!L$1,Product!$A$1:$G$1,0))</f>
        <v>34.154999999999994</v>
      </c>
      <c r="M350" s="5">
        <f t="shared" si="5"/>
        <v>204.92999999999995</v>
      </c>
      <c r="N350" t="str" cm="1">
        <f t="array" ref="N350">_xlfn.IFS(I350="Rob", "Robusta", I350="Exc", "Excelsa", I350="Ara", "Arabica", I350="Lib", "Liberica", TRUE, "")</f>
        <v>Excelsa</v>
      </c>
      <c r="O350" t="str" cm="1">
        <f t="array" ref="O350">_xlfn.IFS(J350="M", "Medium", J350="L", "Light", J350="D", "Dark", TRUE, "")</f>
        <v>Light</v>
      </c>
      <c r="P350" t="str">
        <f>_xlfn.XLOOKUP(Table1[[#This Row],[Customer ID]], customers!$A$1:$A$1001, customers!$I$1:$I$1001,, 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INDEX(Product!$A$1:$G$49,MATCH(orders!$D351,Product!$A$1:$A$49,0),MATCH(orders!I$1,Product!$A$1:$G$1,0))</f>
        <v>Rob</v>
      </c>
      <c r="J351" t="str">
        <f>INDEX(Product!$A$1:$G$49,MATCH(orders!$D351,Product!$A$1:$A$49,0),MATCH(orders!J$1,Product!$A$1:$G$1,0))</f>
        <v>L</v>
      </c>
      <c r="K351" s="4">
        <f>INDEX(Product!$A$1:$G$49,MATCH(orders!$D351,Product!$A$1:$A$49,0),MATCH(orders!K$1,Product!$A$1:$G$1,0))</f>
        <v>0.2</v>
      </c>
      <c r="L351" s="5">
        <f>INDEX(Product!$A$1:$G$49,MATCH(orders!$D351,Product!$A$1:$A$49,0),MATCH(orders!L$1,Product!$A$1:$G$1,0))</f>
        <v>3.5849999999999995</v>
      </c>
      <c r="M351" s="5">
        <f t="shared" si="5"/>
        <v>14.339999999999998</v>
      </c>
      <c r="N351" t="str" cm="1">
        <f t="array" ref="N351">_xlfn.IFS(I351="Rob", "Robusta", I351="Exc", "Excelsa", I351="Ara", "Arabica", I351="Lib", "Liberica", TRUE, "")</f>
        <v>Robusta</v>
      </c>
      <c r="O351" t="str" cm="1">
        <f t="array" ref="O351">_xlfn.IFS(J351="M", "Medium", J351="L", "Light", J351="D", "Dark", TRUE, "")</f>
        <v>Light</v>
      </c>
      <c r="P351" t="str">
        <f>_xlfn.XLOOKUP(Table1[[#This Row],[Customer ID]], customers!$A$1:$A$1001, customers!$I$1:$I$1001,, 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INDEX(Product!$A$1:$G$49,MATCH(orders!$D352,Product!$A$1:$A$49,0),MATCH(orders!I$1,Product!$A$1:$G$1,0))</f>
        <v>Ara</v>
      </c>
      <c r="J352" t="str">
        <f>INDEX(Product!$A$1:$G$49,MATCH(orders!$D352,Product!$A$1:$A$49,0),MATCH(orders!J$1,Product!$A$1:$G$1,0))</f>
        <v>D</v>
      </c>
      <c r="K352" s="4">
        <f>INDEX(Product!$A$1:$G$49,MATCH(orders!$D352,Product!$A$1:$A$49,0),MATCH(orders!K$1,Product!$A$1:$G$1,0))</f>
        <v>0.5</v>
      </c>
      <c r="L352" s="5">
        <f>INDEX(Product!$A$1:$G$49,MATCH(orders!$D352,Product!$A$1:$A$49,0),MATCH(orders!L$1,Product!$A$1:$G$1,0))</f>
        <v>5.97</v>
      </c>
      <c r="M352" s="5">
        <f t="shared" si="5"/>
        <v>23.88</v>
      </c>
      <c r="N352" t="str" cm="1">
        <f t="array" ref="N352">_xlfn.IFS(I352="Rob", "Robusta", I352="Exc", "Excelsa", I352="Ara", "Arabica", I352="Lib", "Liberica", TRUE, "")</f>
        <v>Arabica</v>
      </c>
      <c r="O352" t="str" cm="1">
        <f t="array" ref="O352">_xlfn.IFS(J352="M", "Medium", J352="L", "Light", J352="D", "Dark", TRUE, "")</f>
        <v>Dark</v>
      </c>
      <c r="P352" t="str">
        <f>_xlfn.XLOOKUP(Table1[[#This Row],[Customer ID]], customers!$A$1:$A$1001, customers!$I$1:$I$1001,, 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INDEX(Product!$A$1:$G$49,MATCH(orders!$D353,Product!$A$1:$A$49,0),MATCH(orders!I$1,Product!$A$1:$G$1,0))</f>
        <v>Ara</v>
      </c>
      <c r="J353" t="str">
        <f>INDEX(Product!$A$1:$G$49,MATCH(orders!$D353,Product!$A$1:$A$49,0),MATCH(orders!J$1,Product!$A$1:$G$1,0))</f>
        <v>M</v>
      </c>
      <c r="K353" s="4">
        <f>INDEX(Product!$A$1:$G$49,MATCH(orders!$D353,Product!$A$1:$A$49,0),MATCH(orders!K$1,Product!$A$1:$G$1,0))</f>
        <v>1</v>
      </c>
      <c r="L353" s="5">
        <f>INDEX(Product!$A$1:$G$49,MATCH(orders!$D353,Product!$A$1:$A$49,0),MATCH(orders!L$1,Product!$A$1:$G$1,0))</f>
        <v>11.25</v>
      </c>
      <c r="M353" s="5">
        <f t="shared" si="5"/>
        <v>22.5</v>
      </c>
      <c r="N353" t="str" cm="1">
        <f t="array" ref="N353">_xlfn.IFS(I353="Rob", "Robusta", I353="Exc", "Excelsa", I353="Ara", "Arabica", I353="Lib", "Liberica", TRUE, "")</f>
        <v>Arabica</v>
      </c>
      <c r="O353" t="str" cm="1">
        <f t="array" ref="O353">_xlfn.IFS(J353="M", "Medium", J353="L", "Light", J353="D", "Dark", TRUE, "")</f>
        <v>Medium</v>
      </c>
      <c r="P353" t="str">
        <f>_xlfn.XLOOKUP(Table1[[#This Row],[Customer ID]], customers!$A$1:$A$1001, customers!$I$1:$I$1001,, 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INDEX(Product!$A$1:$G$49,MATCH(orders!$D354,Product!$A$1:$A$49,0),MATCH(orders!I$1,Product!$A$1:$G$1,0))</f>
        <v>Exc</v>
      </c>
      <c r="J354" t="str">
        <f>INDEX(Product!$A$1:$G$49,MATCH(orders!$D354,Product!$A$1:$A$49,0),MATCH(orders!J$1,Product!$A$1:$G$1,0))</f>
        <v>D</v>
      </c>
      <c r="K354" s="4">
        <f>INDEX(Product!$A$1:$G$49,MATCH(orders!$D354,Product!$A$1:$A$49,0),MATCH(orders!K$1,Product!$A$1:$G$1,0))</f>
        <v>0.5</v>
      </c>
      <c r="L354" s="5">
        <f>INDEX(Product!$A$1:$G$49,MATCH(orders!$D354,Product!$A$1:$A$49,0),MATCH(orders!L$1,Product!$A$1:$G$1,0))</f>
        <v>7.29</v>
      </c>
      <c r="M354" s="5">
        <f t="shared" si="5"/>
        <v>36.450000000000003</v>
      </c>
      <c r="N354" t="str" cm="1">
        <f t="array" ref="N354">_xlfn.IFS(I354="Rob", "Robusta", I354="Exc", "Excelsa", I354="Ara", "Arabica", I354="Lib", "Liberica", TRUE, "")</f>
        <v>Excelsa</v>
      </c>
      <c r="O354" t="str" cm="1">
        <f t="array" ref="O354">_xlfn.IFS(J354="M", "Medium", J354="L", "Light", J354="D", "Dark", TRUE, "")</f>
        <v>Dark</v>
      </c>
      <c r="P354" t="str">
        <f>_xlfn.XLOOKUP(Table1[[#This Row],[Customer ID]], customers!$A$1:$A$1001, customers!$I$1:$I$1001,, 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INDEX(Product!$A$1:$G$49,MATCH(orders!$D355,Product!$A$1:$A$49,0),MATCH(orders!I$1,Product!$A$1:$G$1,0))</f>
        <v>Ara</v>
      </c>
      <c r="J355" t="str">
        <f>INDEX(Product!$A$1:$G$49,MATCH(orders!$D355,Product!$A$1:$A$49,0),MATCH(orders!J$1,Product!$A$1:$G$1,0))</f>
        <v>M</v>
      </c>
      <c r="K355" s="4">
        <f>INDEX(Product!$A$1:$G$49,MATCH(orders!$D355,Product!$A$1:$A$49,0),MATCH(orders!K$1,Product!$A$1:$G$1,0))</f>
        <v>0.5</v>
      </c>
      <c r="L355" s="5">
        <f>INDEX(Product!$A$1:$G$49,MATCH(orders!$D355,Product!$A$1:$A$49,0),MATCH(orders!L$1,Product!$A$1:$G$1,0))</f>
        <v>6.75</v>
      </c>
      <c r="M355" s="5">
        <f t="shared" si="5"/>
        <v>27</v>
      </c>
      <c r="N355" t="str" cm="1">
        <f t="array" ref="N355">_xlfn.IFS(I355="Rob", "Robusta", I355="Exc", "Excelsa", I355="Ara", "Arabica", I355="Lib", "Liberica", TRUE, "")</f>
        <v>Arabica</v>
      </c>
      <c r="O355" t="str" cm="1">
        <f t="array" ref="O355">_xlfn.IFS(J355="M", "Medium", J355="L", "Light", J355="D", "Dark", TRUE, "")</f>
        <v>Medium</v>
      </c>
      <c r="P355" t="str">
        <f>_xlfn.XLOOKUP(Table1[[#This Row],[Customer ID]], customers!$A$1:$A$1001, customers!$I$1:$I$1001,, 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INDEX(Product!$A$1:$G$49,MATCH(orders!$D356,Product!$A$1:$A$49,0),MATCH(orders!I$1,Product!$A$1:$G$1,0))</f>
        <v>Ara</v>
      </c>
      <c r="J356" t="str">
        <f>INDEX(Product!$A$1:$G$49,MATCH(orders!$D356,Product!$A$1:$A$49,0),MATCH(orders!J$1,Product!$A$1:$G$1,0))</f>
        <v>M</v>
      </c>
      <c r="K356" s="4">
        <f>INDEX(Product!$A$1:$G$49,MATCH(orders!$D356,Product!$A$1:$A$49,0),MATCH(orders!K$1,Product!$A$1:$G$1,0))</f>
        <v>2.5</v>
      </c>
      <c r="L356" s="5">
        <f>INDEX(Product!$A$1:$G$49,MATCH(orders!$D356,Product!$A$1:$A$49,0),MATCH(orders!L$1,Product!$A$1:$G$1,0))</f>
        <v>25.874999999999996</v>
      </c>
      <c r="M356" s="5">
        <f t="shared" si="5"/>
        <v>155.24999999999997</v>
      </c>
      <c r="N356" t="str" cm="1">
        <f t="array" ref="N356">_xlfn.IFS(I356="Rob", "Robusta", I356="Exc", "Excelsa", I356="Ara", "Arabica", I356="Lib", "Liberica", TRUE, "")</f>
        <v>Arabica</v>
      </c>
      <c r="O356" t="str" cm="1">
        <f t="array" ref="O356">_xlfn.IFS(J356="M", "Medium", J356="L", "Light", J356="D", "Dark", TRUE, "")</f>
        <v>Medium</v>
      </c>
      <c r="P356" t="str">
        <f>_xlfn.XLOOKUP(Table1[[#This Row],[Customer ID]], customers!$A$1:$A$1001, customers!$I$1:$I$1001,, 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INDEX(Product!$A$1:$G$49,MATCH(orders!$D357,Product!$A$1:$A$49,0),MATCH(orders!I$1,Product!$A$1:$G$1,0))</f>
        <v>Ara</v>
      </c>
      <c r="J357" t="str">
        <f>INDEX(Product!$A$1:$G$49,MATCH(orders!$D357,Product!$A$1:$A$49,0),MATCH(orders!J$1,Product!$A$1:$G$1,0))</f>
        <v>D</v>
      </c>
      <c r="K357" s="4">
        <f>INDEX(Product!$A$1:$G$49,MATCH(orders!$D357,Product!$A$1:$A$49,0),MATCH(orders!K$1,Product!$A$1:$G$1,0))</f>
        <v>2.5</v>
      </c>
      <c r="L357" s="5">
        <f>INDEX(Product!$A$1:$G$49,MATCH(orders!$D357,Product!$A$1:$A$49,0),MATCH(orders!L$1,Product!$A$1:$G$1,0))</f>
        <v>22.884999999999998</v>
      </c>
      <c r="M357" s="5">
        <f t="shared" si="5"/>
        <v>114.42499999999998</v>
      </c>
      <c r="N357" t="str" cm="1">
        <f t="array" ref="N357">_xlfn.IFS(I357="Rob", "Robusta", I357="Exc", "Excelsa", I357="Ara", "Arabica", I357="Lib", "Liberica", TRUE, "")</f>
        <v>Arabica</v>
      </c>
      <c r="O357" t="str" cm="1">
        <f t="array" ref="O357">_xlfn.IFS(J357="M", "Medium", J357="L", "Light", J357="D", "Dark", TRUE, "")</f>
        <v>Dark</v>
      </c>
      <c r="P357" t="str">
        <f>_xlfn.XLOOKUP(Table1[[#This Row],[Customer ID]], customers!$A$1:$A$1001, customers!$I$1:$I$1001,, 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INDEX(Product!$A$1:$G$49,MATCH(orders!$D358,Product!$A$1:$A$49,0),MATCH(orders!I$1,Product!$A$1:$G$1,0))</f>
        <v>Lib</v>
      </c>
      <c r="J358" t="str">
        <f>INDEX(Product!$A$1:$G$49,MATCH(orders!$D358,Product!$A$1:$A$49,0),MATCH(orders!J$1,Product!$A$1:$G$1,0))</f>
        <v>D</v>
      </c>
      <c r="K358" s="4">
        <f>INDEX(Product!$A$1:$G$49,MATCH(orders!$D358,Product!$A$1:$A$49,0),MATCH(orders!K$1,Product!$A$1:$G$1,0))</f>
        <v>1</v>
      </c>
      <c r="L358" s="5">
        <f>INDEX(Product!$A$1:$G$49,MATCH(orders!$D358,Product!$A$1:$A$49,0),MATCH(orders!L$1,Product!$A$1:$G$1,0))</f>
        <v>12.95</v>
      </c>
      <c r="M358" s="5">
        <f t="shared" si="5"/>
        <v>51.8</v>
      </c>
      <c r="N358" t="str" cm="1">
        <f t="array" ref="N358">_xlfn.IFS(I358="Rob", "Robusta", I358="Exc", "Excelsa", I358="Ara", "Arabica", I358="Lib", "Liberica", TRUE, "")</f>
        <v>Liberica</v>
      </c>
      <c r="O358" t="str" cm="1">
        <f t="array" ref="O358">_xlfn.IFS(J358="M", "Medium", J358="L", "Light", J358="D", "Dark", TRUE, "")</f>
        <v>Dark</v>
      </c>
      <c r="P358" t="str">
        <f>_xlfn.XLOOKUP(Table1[[#This Row],[Customer ID]], customers!$A$1:$A$1001, customers!$I$1:$I$1001,, 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INDEX(Product!$A$1:$G$49,MATCH(orders!$D359,Product!$A$1:$A$49,0),MATCH(orders!I$1,Product!$A$1:$G$1,0))</f>
        <v>Ara</v>
      </c>
      <c r="J359" t="str">
        <f>INDEX(Product!$A$1:$G$49,MATCH(orders!$D359,Product!$A$1:$A$49,0),MATCH(orders!J$1,Product!$A$1:$G$1,0))</f>
        <v>M</v>
      </c>
      <c r="K359" s="4">
        <f>INDEX(Product!$A$1:$G$49,MATCH(orders!$D359,Product!$A$1:$A$49,0),MATCH(orders!K$1,Product!$A$1:$G$1,0))</f>
        <v>2.5</v>
      </c>
      <c r="L359" s="5">
        <f>INDEX(Product!$A$1:$G$49,MATCH(orders!$D359,Product!$A$1:$A$49,0),MATCH(orders!L$1,Product!$A$1:$G$1,0))</f>
        <v>25.874999999999996</v>
      </c>
      <c r="M359" s="5">
        <f t="shared" si="5"/>
        <v>155.24999999999997</v>
      </c>
      <c r="N359" t="str" cm="1">
        <f t="array" ref="N359">_xlfn.IFS(I359="Rob", "Robusta", I359="Exc", "Excelsa", I359="Ara", "Arabica", I359="Lib", "Liberica", TRUE, "")</f>
        <v>Arabica</v>
      </c>
      <c r="O359" t="str" cm="1">
        <f t="array" ref="O359">_xlfn.IFS(J359="M", "Medium", J359="L", "Light", J359="D", "Dark", TRUE, "")</f>
        <v>Medium</v>
      </c>
      <c r="P359" t="str">
        <f>_xlfn.XLOOKUP(Table1[[#This Row],[Customer ID]], customers!$A$1:$A$1001, customers!$I$1:$I$1001,, 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INDEX(Product!$A$1:$G$49,MATCH(orders!$D360,Product!$A$1:$A$49,0),MATCH(orders!I$1,Product!$A$1:$G$1,0))</f>
        <v>Ara</v>
      </c>
      <c r="J360" t="str">
        <f>INDEX(Product!$A$1:$G$49,MATCH(orders!$D360,Product!$A$1:$A$49,0),MATCH(orders!J$1,Product!$A$1:$G$1,0))</f>
        <v>L</v>
      </c>
      <c r="K360" s="4">
        <f>INDEX(Product!$A$1:$G$49,MATCH(orders!$D360,Product!$A$1:$A$49,0),MATCH(orders!K$1,Product!$A$1:$G$1,0))</f>
        <v>2.5</v>
      </c>
      <c r="L360" s="5">
        <f>INDEX(Product!$A$1:$G$49,MATCH(orders!$D360,Product!$A$1:$A$49,0),MATCH(orders!L$1,Product!$A$1:$G$1,0))</f>
        <v>29.784999999999997</v>
      </c>
      <c r="M360" s="5">
        <f t="shared" si="5"/>
        <v>29.784999999999997</v>
      </c>
      <c r="N360" t="str" cm="1">
        <f t="array" ref="N360">_xlfn.IFS(I360="Rob", "Robusta", I360="Exc", "Excelsa", I360="Ara", "Arabica", I360="Lib", "Liberica", TRUE, "")</f>
        <v>Arabica</v>
      </c>
      <c r="O360" t="str" cm="1">
        <f t="array" ref="O360">_xlfn.IFS(J360="M", "Medium", J360="L", "Light", J360="D", "Dark", TRUE, "")</f>
        <v>Light</v>
      </c>
      <c r="P360" t="str">
        <f>_xlfn.XLOOKUP(Table1[[#This Row],[Customer ID]], customers!$A$1:$A$1001, customers!$I$1:$I$1001,, 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INDEX(Product!$A$1:$G$49,MATCH(orders!$D361,Product!$A$1:$A$49,0),MATCH(orders!I$1,Product!$A$1:$G$1,0))</f>
        <v>Rob</v>
      </c>
      <c r="J361" t="str">
        <f>INDEX(Product!$A$1:$G$49,MATCH(orders!$D361,Product!$A$1:$A$49,0),MATCH(orders!J$1,Product!$A$1:$G$1,0))</f>
        <v>L</v>
      </c>
      <c r="K361" s="4">
        <f>INDEX(Product!$A$1:$G$49,MATCH(orders!$D361,Product!$A$1:$A$49,0),MATCH(orders!K$1,Product!$A$1:$G$1,0))</f>
        <v>0.2</v>
      </c>
      <c r="L361" s="5">
        <f>INDEX(Product!$A$1:$G$49,MATCH(orders!$D361,Product!$A$1:$A$49,0),MATCH(orders!L$1,Product!$A$1:$G$1,0))</f>
        <v>3.5849999999999995</v>
      </c>
      <c r="M361" s="5">
        <f t="shared" si="5"/>
        <v>21.509999999999998</v>
      </c>
      <c r="N361" t="str" cm="1">
        <f t="array" ref="N361">_xlfn.IFS(I361="Rob", "Robusta", I361="Exc", "Excelsa", I361="Ara", "Arabica", I361="Lib", "Liberica", TRUE, "")</f>
        <v>Robusta</v>
      </c>
      <c r="O361" t="str" cm="1">
        <f t="array" ref="O361">_xlfn.IFS(J361="M", "Medium", J361="L", "Light", J361="D", "Dark", TRUE, "")</f>
        <v>Light</v>
      </c>
      <c r="P361" t="str">
        <f>_xlfn.XLOOKUP(Table1[[#This Row],[Customer ID]], customers!$A$1:$A$1001, customers!$I$1:$I$1001,, 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INDEX(Product!$A$1:$G$49,MATCH(orders!$D362,Product!$A$1:$A$49,0),MATCH(orders!I$1,Product!$A$1:$G$1,0))</f>
        <v>Rob</v>
      </c>
      <c r="J362" t="str">
        <f>INDEX(Product!$A$1:$G$49,MATCH(orders!$D362,Product!$A$1:$A$49,0),MATCH(orders!J$1,Product!$A$1:$G$1,0))</f>
        <v>D</v>
      </c>
      <c r="K362" s="4">
        <f>INDEX(Product!$A$1:$G$49,MATCH(orders!$D362,Product!$A$1:$A$49,0),MATCH(orders!K$1,Product!$A$1:$G$1,0))</f>
        <v>2.5</v>
      </c>
      <c r="L362" s="5">
        <f>INDEX(Product!$A$1:$G$49,MATCH(orders!$D362,Product!$A$1:$A$49,0),MATCH(orders!L$1,Product!$A$1:$G$1,0))</f>
        <v>20.584999999999997</v>
      </c>
      <c r="M362" s="5">
        <f t="shared" si="5"/>
        <v>41.169999999999995</v>
      </c>
      <c r="N362" t="str" cm="1">
        <f t="array" ref="N362">_xlfn.IFS(I362="Rob", "Robusta", I362="Exc", "Excelsa", I362="Ara", "Arabica", I362="Lib", "Liberica", TRUE, "")</f>
        <v>Robusta</v>
      </c>
      <c r="O362" t="str" cm="1">
        <f t="array" ref="O362">_xlfn.IFS(J362="M", "Medium", J362="L", "Light", J362="D", "Dark", TRUE, "")</f>
        <v>Dark</v>
      </c>
      <c r="P362" t="str">
        <f>_xlfn.XLOOKUP(Table1[[#This Row],[Customer ID]], customers!$A$1:$A$1001, customers!$I$1:$I$1001,, 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INDEX(Product!$A$1:$G$49,MATCH(orders!$D363,Product!$A$1:$A$49,0),MATCH(orders!I$1,Product!$A$1:$G$1,0))</f>
        <v>Rob</v>
      </c>
      <c r="J363" t="str">
        <f>INDEX(Product!$A$1:$G$49,MATCH(orders!$D363,Product!$A$1:$A$49,0),MATCH(orders!J$1,Product!$A$1:$G$1,0))</f>
        <v>M</v>
      </c>
      <c r="K363" s="4">
        <f>INDEX(Product!$A$1:$G$49,MATCH(orders!$D363,Product!$A$1:$A$49,0),MATCH(orders!K$1,Product!$A$1:$G$1,0))</f>
        <v>0.5</v>
      </c>
      <c r="L363" s="5">
        <f>INDEX(Product!$A$1:$G$49,MATCH(orders!$D363,Product!$A$1:$A$49,0),MATCH(orders!L$1,Product!$A$1:$G$1,0))</f>
        <v>5.97</v>
      </c>
      <c r="M363" s="5">
        <f t="shared" si="5"/>
        <v>5.97</v>
      </c>
      <c r="N363" t="str" cm="1">
        <f t="array" ref="N363">_xlfn.IFS(I363="Rob", "Robusta", I363="Exc", "Excelsa", I363="Ara", "Arabica", I363="Lib", "Liberica", TRUE, "")</f>
        <v>Robusta</v>
      </c>
      <c r="O363" t="str" cm="1">
        <f t="array" ref="O363">_xlfn.IFS(J363="M", "Medium", J363="L", "Light", J363="D", "Dark", TRUE, "")</f>
        <v>Medium</v>
      </c>
      <c r="P363" t="str">
        <f>_xlfn.XLOOKUP(Table1[[#This Row],[Customer ID]], customers!$A$1:$A$1001, customers!$I$1:$I$1001,, 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INDEX(Product!$A$1:$G$49,MATCH(orders!$D364,Product!$A$1:$A$49,0),MATCH(orders!I$1,Product!$A$1:$G$1,0))</f>
        <v>Exc</v>
      </c>
      <c r="J364" t="str">
        <f>INDEX(Product!$A$1:$G$49,MATCH(orders!$D364,Product!$A$1:$A$49,0),MATCH(orders!J$1,Product!$A$1:$G$1,0))</f>
        <v>L</v>
      </c>
      <c r="K364" s="4">
        <f>INDEX(Product!$A$1:$G$49,MATCH(orders!$D364,Product!$A$1:$A$49,0),MATCH(orders!K$1,Product!$A$1:$G$1,0))</f>
        <v>1</v>
      </c>
      <c r="L364" s="5">
        <f>INDEX(Product!$A$1:$G$49,MATCH(orders!$D364,Product!$A$1:$A$49,0),MATCH(orders!L$1,Product!$A$1:$G$1,0))</f>
        <v>14.85</v>
      </c>
      <c r="M364" s="5">
        <f t="shared" si="5"/>
        <v>74.25</v>
      </c>
      <c r="N364" t="str" cm="1">
        <f t="array" ref="N364">_xlfn.IFS(I364="Rob", "Robusta", I364="Exc", "Excelsa", I364="Ara", "Arabica", I364="Lib", "Liberica", TRUE, "")</f>
        <v>Excelsa</v>
      </c>
      <c r="O364" t="str" cm="1">
        <f t="array" ref="O364">_xlfn.IFS(J364="M", "Medium", J364="L", "Light", J364="D", "Dark", TRUE, "")</f>
        <v>Light</v>
      </c>
      <c r="P364" t="str">
        <f>_xlfn.XLOOKUP(Table1[[#This Row],[Customer ID]], customers!$A$1:$A$1001, customers!$I$1:$I$1001,, 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INDEX(Product!$A$1:$G$49,MATCH(orders!$D365,Product!$A$1:$A$49,0),MATCH(orders!I$1,Product!$A$1:$G$1,0))</f>
        <v>Lib</v>
      </c>
      <c r="J365" t="str">
        <f>INDEX(Product!$A$1:$G$49,MATCH(orders!$D365,Product!$A$1:$A$49,0),MATCH(orders!J$1,Product!$A$1:$G$1,0))</f>
        <v>M</v>
      </c>
      <c r="K365" s="4">
        <f>INDEX(Product!$A$1:$G$49,MATCH(orders!$D365,Product!$A$1:$A$49,0),MATCH(orders!K$1,Product!$A$1:$G$1,0))</f>
        <v>1</v>
      </c>
      <c r="L365" s="5">
        <f>INDEX(Product!$A$1:$G$49,MATCH(orders!$D365,Product!$A$1:$A$49,0),MATCH(orders!L$1,Product!$A$1:$G$1,0))</f>
        <v>14.55</v>
      </c>
      <c r="M365" s="5">
        <f t="shared" si="5"/>
        <v>87.300000000000011</v>
      </c>
      <c r="N365" t="str" cm="1">
        <f t="array" ref="N365">_xlfn.IFS(I365="Rob", "Robusta", I365="Exc", "Excelsa", I365="Ara", "Arabica", I365="Lib", "Liberica", TRUE, "")</f>
        <v>Liberica</v>
      </c>
      <c r="O365" t="str" cm="1">
        <f t="array" ref="O365">_xlfn.IFS(J365="M", "Medium", J365="L", "Light", J365="D", "Dark", TRUE, "")</f>
        <v>Medium</v>
      </c>
      <c r="P365" t="str">
        <f>_xlfn.XLOOKUP(Table1[[#This Row],[Customer ID]], customers!$A$1:$A$1001, customers!$I$1:$I$1001,, 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INDEX(Product!$A$1:$G$49,MATCH(orders!$D366,Product!$A$1:$A$49,0),MATCH(orders!I$1,Product!$A$1:$G$1,0))</f>
        <v>Exc</v>
      </c>
      <c r="J366" t="str">
        <f>INDEX(Product!$A$1:$G$49,MATCH(orders!$D366,Product!$A$1:$A$49,0),MATCH(orders!J$1,Product!$A$1:$G$1,0))</f>
        <v>D</v>
      </c>
      <c r="K366" s="4">
        <f>INDEX(Product!$A$1:$G$49,MATCH(orders!$D366,Product!$A$1:$A$49,0),MATCH(orders!K$1,Product!$A$1:$G$1,0))</f>
        <v>1</v>
      </c>
      <c r="L366" s="5">
        <f>INDEX(Product!$A$1:$G$49,MATCH(orders!$D366,Product!$A$1:$A$49,0),MATCH(orders!L$1,Product!$A$1:$G$1,0))</f>
        <v>12.15</v>
      </c>
      <c r="M366" s="5">
        <f t="shared" si="5"/>
        <v>72.900000000000006</v>
      </c>
      <c r="N366" t="str" cm="1">
        <f t="array" ref="N366">_xlfn.IFS(I366="Rob", "Robusta", I366="Exc", "Excelsa", I366="Ara", "Arabica", I366="Lib", "Liberica", TRUE, "")</f>
        <v>Excelsa</v>
      </c>
      <c r="O366" t="str" cm="1">
        <f t="array" ref="O366">_xlfn.IFS(J366="M", "Medium", J366="L", "Light", J366="D", "Dark", TRUE, "")</f>
        <v>Dark</v>
      </c>
      <c r="P366" t="str">
        <f>_xlfn.XLOOKUP(Table1[[#This Row],[Customer ID]], customers!$A$1:$A$1001, customers!$I$1:$I$1001,, 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INDEX(Product!$A$1:$G$49,MATCH(orders!$D367,Product!$A$1:$A$49,0),MATCH(orders!I$1,Product!$A$1:$G$1,0))</f>
        <v>Lib</v>
      </c>
      <c r="J367" t="str">
        <f>INDEX(Product!$A$1:$G$49,MATCH(orders!$D367,Product!$A$1:$A$49,0),MATCH(orders!J$1,Product!$A$1:$G$1,0))</f>
        <v>D</v>
      </c>
      <c r="K367" s="4">
        <f>INDEX(Product!$A$1:$G$49,MATCH(orders!$D367,Product!$A$1:$A$49,0),MATCH(orders!K$1,Product!$A$1:$G$1,0))</f>
        <v>0.5</v>
      </c>
      <c r="L367" s="5">
        <f>INDEX(Product!$A$1:$G$49,MATCH(orders!$D367,Product!$A$1:$A$49,0),MATCH(orders!L$1,Product!$A$1:$G$1,0))</f>
        <v>7.77</v>
      </c>
      <c r="M367" s="5">
        <f t="shared" si="5"/>
        <v>7.77</v>
      </c>
      <c r="N367" t="str" cm="1">
        <f t="array" ref="N367">_xlfn.IFS(I367="Rob", "Robusta", I367="Exc", "Excelsa", I367="Ara", "Arabica", I367="Lib", "Liberica", TRUE, "")</f>
        <v>Liberica</v>
      </c>
      <c r="O367" t="str" cm="1">
        <f t="array" ref="O367">_xlfn.IFS(J367="M", "Medium", J367="L", "Light", J367="D", "Dark", TRUE, "")</f>
        <v>Dark</v>
      </c>
      <c r="P367" t="str">
        <f>_xlfn.XLOOKUP(Table1[[#This Row],[Customer ID]], customers!$A$1:$A$1001, customers!$I$1:$I$1001,, 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INDEX(Product!$A$1:$G$49,MATCH(orders!$D368,Product!$A$1:$A$49,0),MATCH(orders!I$1,Product!$A$1:$G$1,0))</f>
        <v>Exc</v>
      </c>
      <c r="J368" t="str">
        <f>INDEX(Product!$A$1:$G$49,MATCH(orders!$D368,Product!$A$1:$A$49,0),MATCH(orders!J$1,Product!$A$1:$G$1,0))</f>
        <v>D</v>
      </c>
      <c r="K368" s="4">
        <f>INDEX(Product!$A$1:$G$49,MATCH(orders!$D368,Product!$A$1:$A$49,0),MATCH(orders!K$1,Product!$A$1:$G$1,0))</f>
        <v>0.5</v>
      </c>
      <c r="L368" s="5">
        <f>INDEX(Product!$A$1:$G$49,MATCH(orders!$D368,Product!$A$1:$A$49,0),MATCH(orders!L$1,Product!$A$1:$G$1,0))</f>
        <v>7.29</v>
      </c>
      <c r="M368" s="5">
        <f t="shared" si="5"/>
        <v>43.74</v>
      </c>
      <c r="N368" t="str" cm="1">
        <f t="array" ref="N368">_xlfn.IFS(I368="Rob", "Robusta", I368="Exc", "Excelsa", I368="Ara", "Arabica", I368="Lib", "Liberica", TRUE, "")</f>
        <v>Excelsa</v>
      </c>
      <c r="O368" t="str" cm="1">
        <f t="array" ref="O368">_xlfn.IFS(J368="M", "Medium", J368="L", "Light", J368="D", "Dark", TRUE, "")</f>
        <v>Dark</v>
      </c>
      <c r="P368" t="str">
        <f>_xlfn.XLOOKUP(Table1[[#This Row],[Customer ID]], customers!$A$1:$A$1001, customers!$I$1:$I$1001,, 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INDEX(Product!$A$1:$G$49,MATCH(orders!$D369,Product!$A$1:$A$49,0),MATCH(orders!I$1,Product!$A$1:$G$1,0))</f>
        <v>Lib</v>
      </c>
      <c r="J369" t="str">
        <f>INDEX(Product!$A$1:$G$49,MATCH(orders!$D369,Product!$A$1:$A$49,0),MATCH(orders!J$1,Product!$A$1:$G$1,0))</f>
        <v>M</v>
      </c>
      <c r="K369" s="4">
        <f>INDEX(Product!$A$1:$G$49,MATCH(orders!$D369,Product!$A$1:$A$49,0),MATCH(orders!K$1,Product!$A$1:$G$1,0))</f>
        <v>0.2</v>
      </c>
      <c r="L369" s="5">
        <f>INDEX(Product!$A$1:$G$49,MATCH(orders!$D369,Product!$A$1:$A$49,0),MATCH(orders!L$1,Product!$A$1:$G$1,0))</f>
        <v>4.3650000000000002</v>
      </c>
      <c r="M369" s="5">
        <f t="shared" si="5"/>
        <v>8.73</v>
      </c>
      <c r="N369" t="str" cm="1">
        <f t="array" ref="N369">_xlfn.IFS(I369="Rob", "Robusta", I369="Exc", "Excelsa", I369="Ara", "Arabica", I369="Lib", "Liberica", TRUE, "")</f>
        <v>Liberica</v>
      </c>
      <c r="O369" t="str" cm="1">
        <f t="array" ref="O369">_xlfn.IFS(J369="M", "Medium", J369="L", "Light", J369="D", "Dark", TRUE, "")</f>
        <v>Medium</v>
      </c>
      <c r="P369" t="str">
        <f>_xlfn.XLOOKUP(Table1[[#This Row],[Customer ID]], customers!$A$1:$A$1001, customers!$I$1:$I$1001,, 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INDEX(Product!$A$1:$G$49,MATCH(orders!$D370,Product!$A$1:$A$49,0),MATCH(orders!I$1,Product!$A$1:$G$1,0))</f>
        <v>Exc</v>
      </c>
      <c r="J370" t="str">
        <f>INDEX(Product!$A$1:$G$49,MATCH(orders!$D370,Product!$A$1:$A$49,0),MATCH(orders!J$1,Product!$A$1:$G$1,0))</f>
        <v>M</v>
      </c>
      <c r="K370" s="4">
        <f>INDEX(Product!$A$1:$G$49,MATCH(orders!$D370,Product!$A$1:$A$49,0),MATCH(orders!K$1,Product!$A$1:$G$1,0))</f>
        <v>2.5</v>
      </c>
      <c r="L370" s="5">
        <f>INDEX(Product!$A$1:$G$49,MATCH(orders!$D370,Product!$A$1:$A$49,0),MATCH(orders!L$1,Product!$A$1:$G$1,0))</f>
        <v>31.624999999999996</v>
      </c>
      <c r="M370" s="5">
        <f t="shared" si="5"/>
        <v>63.249999999999993</v>
      </c>
      <c r="N370" t="str" cm="1">
        <f t="array" ref="N370">_xlfn.IFS(I370="Rob", "Robusta", I370="Exc", "Excelsa", I370="Ara", "Arabica", I370="Lib", "Liberica", TRUE, "")</f>
        <v>Excelsa</v>
      </c>
      <c r="O370" t="str" cm="1">
        <f t="array" ref="O370">_xlfn.IFS(J370="M", "Medium", J370="L", "Light", J370="D", "Dark", TRUE, "")</f>
        <v>Medium</v>
      </c>
      <c r="P370" t="str">
        <f>_xlfn.XLOOKUP(Table1[[#This Row],[Customer ID]], customers!$A$1:$A$1001, customers!$I$1:$I$1001,, 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INDEX(Product!$A$1:$G$49,MATCH(orders!$D371,Product!$A$1:$A$49,0),MATCH(orders!I$1,Product!$A$1:$G$1,0))</f>
        <v>Exc</v>
      </c>
      <c r="J371" t="str">
        <f>INDEX(Product!$A$1:$G$49,MATCH(orders!$D371,Product!$A$1:$A$49,0),MATCH(orders!J$1,Product!$A$1:$G$1,0))</f>
        <v>L</v>
      </c>
      <c r="K371" s="4">
        <f>INDEX(Product!$A$1:$G$49,MATCH(orders!$D371,Product!$A$1:$A$49,0),MATCH(orders!K$1,Product!$A$1:$G$1,0))</f>
        <v>0.5</v>
      </c>
      <c r="L371" s="5">
        <f>INDEX(Product!$A$1:$G$49,MATCH(orders!$D371,Product!$A$1:$A$49,0),MATCH(orders!L$1,Product!$A$1:$G$1,0))</f>
        <v>8.91</v>
      </c>
      <c r="M371" s="5">
        <f t="shared" si="5"/>
        <v>8.91</v>
      </c>
      <c r="N371" t="str" cm="1">
        <f t="array" ref="N371">_xlfn.IFS(I371="Rob", "Robusta", I371="Exc", "Excelsa", I371="Ara", "Arabica", I371="Lib", "Liberica", TRUE, "")</f>
        <v>Excelsa</v>
      </c>
      <c r="O371" t="str" cm="1">
        <f t="array" ref="O371">_xlfn.IFS(J371="M", "Medium", J371="L", "Light", J371="D", "Dark", TRUE, "")</f>
        <v>Light</v>
      </c>
      <c r="P371" t="str">
        <f>_xlfn.XLOOKUP(Table1[[#This Row],[Customer ID]], customers!$A$1:$A$1001, customers!$I$1:$I$1001,, 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INDEX(Product!$A$1:$G$49,MATCH(orders!$D372,Product!$A$1:$A$49,0),MATCH(orders!I$1,Product!$A$1:$G$1,0))</f>
        <v>Exc</v>
      </c>
      <c r="J372" t="str">
        <f>INDEX(Product!$A$1:$G$49,MATCH(orders!$D372,Product!$A$1:$A$49,0),MATCH(orders!J$1,Product!$A$1:$G$1,0))</f>
        <v>D</v>
      </c>
      <c r="K372" s="4">
        <f>INDEX(Product!$A$1:$G$49,MATCH(orders!$D372,Product!$A$1:$A$49,0),MATCH(orders!K$1,Product!$A$1:$G$1,0))</f>
        <v>1</v>
      </c>
      <c r="L372" s="5">
        <f>INDEX(Product!$A$1:$G$49,MATCH(orders!$D372,Product!$A$1:$A$49,0),MATCH(orders!L$1,Product!$A$1:$G$1,0))</f>
        <v>12.15</v>
      </c>
      <c r="M372" s="5">
        <f t="shared" si="5"/>
        <v>24.3</v>
      </c>
      <c r="N372" t="str" cm="1">
        <f t="array" ref="N372">_xlfn.IFS(I372="Rob", "Robusta", I372="Exc", "Excelsa", I372="Ara", "Arabica", I372="Lib", "Liberica", TRUE, "")</f>
        <v>Excelsa</v>
      </c>
      <c r="O372" t="str" cm="1">
        <f t="array" ref="O372">_xlfn.IFS(J372="M", "Medium", J372="L", "Light", J372="D", "Dark", TRUE, "")</f>
        <v>Dark</v>
      </c>
      <c r="P372" t="str">
        <f>_xlfn.XLOOKUP(Table1[[#This Row],[Customer ID]], customers!$A$1:$A$1001, customers!$I$1:$I$1001,, 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INDEX(Product!$A$1:$G$49,MATCH(orders!$D373,Product!$A$1:$A$49,0),MATCH(orders!I$1,Product!$A$1:$G$1,0))</f>
        <v>Ara</v>
      </c>
      <c r="J373" t="str">
        <f>INDEX(Product!$A$1:$G$49,MATCH(orders!$D373,Product!$A$1:$A$49,0),MATCH(orders!J$1,Product!$A$1:$G$1,0))</f>
        <v>L</v>
      </c>
      <c r="K373" s="4">
        <f>INDEX(Product!$A$1:$G$49,MATCH(orders!$D373,Product!$A$1:$A$49,0),MATCH(orders!K$1,Product!$A$1:$G$1,0))</f>
        <v>0.5</v>
      </c>
      <c r="L373" s="5">
        <f>INDEX(Product!$A$1:$G$49,MATCH(orders!$D373,Product!$A$1:$A$49,0),MATCH(orders!L$1,Product!$A$1:$G$1,0))</f>
        <v>7.77</v>
      </c>
      <c r="M373" s="5">
        <f t="shared" si="5"/>
        <v>46.62</v>
      </c>
      <c r="N373" t="str" cm="1">
        <f t="array" ref="N373">_xlfn.IFS(I373="Rob", "Robusta", I373="Exc", "Excelsa", I373="Ara", "Arabica", I373="Lib", "Liberica", TRUE, "")</f>
        <v>Arabica</v>
      </c>
      <c r="O373" t="str" cm="1">
        <f t="array" ref="O373">_xlfn.IFS(J373="M", "Medium", J373="L", "Light", J373="D", "Dark", TRUE, "")</f>
        <v>Light</v>
      </c>
      <c r="P373" t="str">
        <f>_xlfn.XLOOKUP(Table1[[#This Row],[Customer ID]], customers!$A$1:$A$1001, customers!$I$1:$I$1001,, 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INDEX(Product!$A$1:$G$49,MATCH(orders!$D374,Product!$A$1:$A$49,0),MATCH(orders!I$1,Product!$A$1:$G$1,0))</f>
        <v>Rob</v>
      </c>
      <c r="J374" t="str">
        <f>INDEX(Product!$A$1:$G$49,MATCH(orders!$D374,Product!$A$1:$A$49,0),MATCH(orders!J$1,Product!$A$1:$G$1,0))</f>
        <v>L</v>
      </c>
      <c r="K374" s="4">
        <f>INDEX(Product!$A$1:$G$49,MATCH(orders!$D374,Product!$A$1:$A$49,0),MATCH(orders!K$1,Product!$A$1:$G$1,0))</f>
        <v>0.5</v>
      </c>
      <c r="L374" s="5">
        <f>INDEX(Product!$A$1:$G$49,MATCH(orders!$D374,Product!$A$1:$A$49,0),MATCH(orders!L$1,Product!$A$1:$G$1,0))</f>
        <v>7.169999999999999</v>
      </c>
      <c r="M374" s="5">
        <f t="shared" si="5"/>
        <v>43.019999999999996</v>
      </c>
      <c r="N374" t="str" cm="1">
        <f t="array" ref="N374">_xlfn.IFS(I374="Rob", "Robusta", I374="Exc", "Excelsa", I374="Ara", "Arabica", I374="Lib", "Liberica", TRUE, "")</f>
        <v>Robusta</v>
      </c>
      <c r="O374" t="str" cm="1">
        <f t="array" ref="O374">_xlfn.IFS(J374="M", "Medium", J374="L", "Light", J374="D", "Dark", TRUE, "")</f>
        <v>Light</v>
      </c>
      <c r="P374" t="str">
        <f>_xlfn.XLOOKUP(Table1[[#This Row],[Customer ID]], customers!$A$1:$A$1001, customers!$I$1:$I$1001,, 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INDEX(Product!$A$1:$G$49,MATCH(orders!$D375,Product!$A$1:$A$49,0),MATCH(orders!I$1,Product!$A$1:$G$1,0))</f>
        <v>Ara</v>
      </c>
      <c r="J375" t="str">
        <f>INDEX(Product!$A$1:$G$49,MATCH(orders!$D375,Product!$A$1:$A$49,0),MATCH(orders!J$1,Product!$A$1:$G$1,0))</f>
        <v>D</v>
      </c>
      <c r="K375" s="4">
        <f>INDEX(Product!$A$1:$G$49,MATCH(orders!$D375,Product!$A$1:$A$49,0),MATCH(orders!K$1,Product!$A$1:$G$1,0))</f>
        <v>0.5</v>
      </c>
      <c r="L375" s="5">
        <f>INDEX(Product!$A$1:$G$49,MATCH(orders!$D375,Product!$A$1:$A$49,0),MATCH(orders!L$1,Product!$A$1:$G$1,0))</f>
        <v>5.97</v>
      </c>
      <c r="M375" s="5">
        <f t="shared" si="5"/>
        <v>17.91</v>
      </c>
      <c r="N375" t="str" cm="1">
        <f t="array" ref="N375">_xlfn.IFS(I375="Rob", "Robusta", I375="Exc", "Excelsa", I375="Ara", "Arabica", I375="Lib", "Liberica", TRUE, "")</f>
        <v>Arabica</v>
      </c>
      <c r="O375" t="str" cm="1">
        <f t="array" ref="O375">_xlfn.IFS(J375="M", "Medium", J375="L", "Light", J375="D", "Dark", TRUE, "")</f>
        <v>Dark</v>
      </c>
      <c r="P375" t="str">
        <f>_xlfn.XLOOKUP(Table1[[#This Row],[Customer ID]], customers!$A$1:$A$1001, customers!$I$1:$I$1001,, 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INDEX(Product!$A$1:$G$49,MATCH(orders!$D376,Product!$A$1:$A$49,0),MATCH(orders!I$1,Product!$A$1:$G$1,0))</f>
        <v>Lib</v>
      </c>
      <c r="J376" t="str">
        <f>INDEX(Product!$A$1:$G$49,MATCH(orders!$D376,Product!$A$1:$A$49,0),MATCH(orders!J$1,Product!$A$1:$G$1,0))</f>
        <v>L</v>
      </c>
      <c r="K376" s="4">
        <f>INDEX(Product!$A$1:$G$49,MATCH(orders!$D376,Product!$A$1:$A$49,0),MATCH(orders!K$1,Product!$A$1:$G$1,0))</f>
        <v>0.5</v>
      </c>
      <c r="L376" s="5">
        <f>INDEX(Product!$A$1:$G$49,MATCH(orders!$D376,Product!$A$1:$A$49,0),MATCH(orders!L$1,Product!$A$1:$G$1,0))</f>
        <v>9.51</v>
      </c>
      <c r="M376" s="5">
        <f t="shared" si="5"/>
        <v>38.04</v>
      </c>
      <c r="N376" t="str" cm="1">
        <f t="array" ref="N376">_xlfn.IFS(I376="Rob", "Robusta", I376="Exc", "Excelsa", I376="Ara", "Arabica", I376="Lib", "Liberica", TRUE, "")</f>
        <v>Liberica</v>
      </c>
      <c r="O376" t="str" cm="1">
        <f t="array" ref="O376">_xlfn.IFS(J376="M", "Medium", J376="L", "Light", J376="D", "Dark", TRUE, "")</f>
        <v>Light</v>
      </c>
      <c r="P376" t="str">
        <f>_xlfn.XLOOKUP(Table1[[#This Row],[Customer ID]], customers!$A$1:$A$1001, customers!$I$1:$I$1001,, 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INDEX(Product!$A$1:$G$49,MATCH(orders!$D377,Product!$A$1:$A$49,0),MATCH(orders!I$1,Product!$A$1:$G$1,0))</f>
        <v>Ara</v>
      </c>
      <c r="J377" t="str">
        <f>INDEX(Product!$A$1:$G$49,MATCH(orders!$D377,Product!$A$1:$A$49,0),MATCH(orders!J$1,Product!$A$1:$G$1,0))</f>
        <v>M</v>
      </c>
      <c r="K377" s="4">
        <f>INDEX(Product!$A$1:$G$49,MATCH(orders!$D377,Product!$A$1:$A$49,0),MATCH(orders!K$1,Product!$A$1:$G$1,0))</f>
        <v>0.2</v>
      </c>
      <c r="L377" s="5">
        <f>INDEX(Product!$A$1:$G$49,MATCH(orders!$D377,Product!$A$1:$A$49,0),MATCH(orders!L$1,Product!$A$1:$G$1,0))</f>
        <v>3.375</v>
      </c>
      <c r="M377" s="5">
        <f t="shared" si="5"/>
        <v>6.75</v>
      </c>
      <c r="N377" t="str" cm="1">
        <f t="array" ref="N377">_xlfn.IFS(I377="Rob", "Robusta", I377="Exc", "Excelsa", I377="Ara", "Arabica", I377="Lib", "Liberica", TRUE, "")</f>
        <v>Arabica</v>
      </c>
      <c r="O377" t="str" cm="1">
        <f t="array" ref="O377">_xlfn.IFS(J377="M", "Medium", J377="L", "Light", J377="D", "Dark", TRUE, "")</f>
        <v>Medium</v>
      </c>
      <c r="P377" t="str">
        <f>_xlfn.XLOOKUP(Table1[[#This Row],[Customer ID]], customers!$A$1:$A$1001, customers!$I$1:$I$1001,, 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INDEX(Product!$A$1:$G$49,MATCH(orders!$D378,Product!$A$1:$A$49,0),MATCH(orders!I$1,Product!$A$1:$G$1,0))</f>
        <v>Rob</v>
      </c>
      <c r="J378" t="str">
        <f>INDEX(Product!$A$1:$G$49,MATCH(orders!$D378,Product!$A$1:$A$49,0),MATCH(orders!J$1,Product!$A$1:$G$1,0))</f>
        <v>M</v>
      </c>
      <c r="K378" s="4">
        <f>INDEX(Product!$A$1:$G$49,MATCH(orders!$D378,Product!$A$1:$A$49,0),MATCH(orders!K$1,Product!$A$1:$G$1,0))</f>
        <v>0.5</v>
      </c>
      <c r="L378" s="5">
        <f>INDEX(Product!$A$1:$G$49,MATCH(orders!$D378,Product!$A$1:$A$49,0),MATCH(orders!L$1,Product!$A$1:$G$1,0))</f>
        <v>5.97</v>
      </c>
      <c r="M378" s="5">
        <f t="shared" si="5"/>
        <v>5.97</v>
      </c>
      <c r="N378" t="str" cm="1">
        <f t="array" ref="N378">_xlfn.IFS(I378="Rob", "Robusta", I378="Exc", "Excelsa", I378="Ara", "Arabica", I378="Lib", "Liberica", TRUE, "")</f>
        <v>Robusta</v>
      </c>
      <c r="O378" t="str" cm="1">
        <f t="array" ref="O378">_xlfn.IFS(J378="M", "Medium", J378="L", "Light", J378="D", "Dark", TRUE, "")</f>
        <v>Medium</v>
      </c>
      <c r="P378" t="str">
        <f>_xlfn.XLOOKUP(Table1[[#This Row],[Customer ID]], customers!$A$1:$A$1001, customers!$I$1:$I$1001,, 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INDEX(Product!$A$1:$G$49,MATCH(orders!$D379,Product!$A$1:$A$49,0),MATCH(orders!I$1,Product!$A$1:$G$1,0))</f>
        <v>Rob</v>
      </c>
      <c r="J379" t="str">
        <f>INDEX(Product!$A$1:$G$49,MATCH(orders!$D379,Product!$A$1:$A$49,0),MATCH(orders!J$1,Product!$A$1:$G$1,0))</f>
        <v>D</v>
      </c>
      <c r="K379" s="4">
        <f>INDEX(Product!$A$1:$G$49,MATCH(orders!$D379,Product!$A$1:$A$49,0),MATCH(orders!K$1,Product!$A$1:$G$1,0))</f>
        <v>0.2</v>
      </c>
      <c r="L379" s="5">
        <f>INDEX(Product!$A$1:$G$49,MATCH(orders!$D379,Product!$A$1:$A$49,0),MATCH(orders!L$1,Product!$A$1:$G$1,0))</f>
        <v>2.6849999999999996</v>
      </c>
      <c r="M379" s="5">
        <f t="shared" si="5"/>
        <v>8.0549999999999997</v>
      </c>
      <c r="N379" t="str" cm="1">
        <f t="array" ref="N379">_xlfn.IFS(I379="Rob", "Robusta", I379="Exc", "Excelsa", I379="Ara", "Arabica", I379="Lib", "Liberica", TRUE, "")</f>
        <v>Robusta</v>
      </c>
      <c r="O379" t="str" cm="1">
        <f t="array" ref="O379">_xlfn.IFS(J379="M", "Medium", J379="L", "Light", J379="D", "Dark", TRUE, "")</f>
        <v>Dark</v>
      </c>
      <c r="P379" t="str">
        <f>_xlfn.XLOOKUP(Table1[[#This Row],[Customer ID]], customers!$A$1:$A$1001, customers!$I$1:$I$1001,, 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INDEX(Product!$A$1:$G$49,MATCH(orders!$D380,Product!$A$1:$A$49,0),MATCH(orders!I$1,Product!$A$1:$G$1,0))</f>
        <v>Ara</v>
      </c>
      <c r="J380" t="str">
        <f>INDEX(Product!$A$1:$G$49,MATCH(orders!$D380,Product!$A$1:$A$49,0),MATCH(orders!J$1,Product!$A$1:$G$1,0))</f>
        <v>L</v>
      </c>
      <c r="K380" s="4">
        <f>INDEX(Product!$A$1:$G$49,MATCH(orders!$D380,Product!$A$1:$A$49,0),MATCH(orders!K$1,Product!$A$1:$G$1,0))</f>
        <v>0.5</v>
      </c>
      <c r="L380" s="5">
        <f>INDEX(Product!$A$1:$G$49,MATCH(orders!$D380,Product!$A$1:$A$49,0),MATCH(orders!L$1,Product!$A$1:$G$1,0))</f>
        <v>7.77</v>
      </c>
      <c r="M380" s="5">
        <f t="shared" si="5"/>
        <v>23.31</v>
      </c>
      <c r="N380" t="str" cm="1">
        <f t="array" ref="N380">_xlfn.IFS(I380="Rob", "Robusta", I380="Exc", "Excelsa", I380="Ara", "Arabica", I380="Lib", "Liberica", TRUE, "")</f>
        <v>Arabica</v>
      </c>
      <c r="O380" t="str" cm="1">
        <f t="array" ref="O380">_xlfn.IFS(J380="M", "Medium", J380="L", "Light", J380="D", "Dark", TRUE, "")</f>
        <v>Light</v>
      </c>
      <c r="P380" t="str">
        <f>_xlfn.XLOOKUP(Table1[[#This Row],[Customer ID]], customers!$A$1:$A$1001, customers!$I$1:$I$1001,, 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INDEX(Product!$A$1:$G$49,MATCH(orders!$D381,Product!$A$1:$A$49,0),MATCH(orders!I$1,Product!$A$1:$G$1,0))</f>
        <v>Rob</v>
      </c>
      <c r="J381" t="str">
        <f>INDEX(Product!$A$1:$G$49,MATCH(orders!$D381,Product!$A$1:$A$49,0),MATCH(orders!J$1,Product!$A$1:$G$1,0))</f>
        <v>L</v>
      </c>
      <c r="K381" s="4">
        <f>INDEX(Product!$A$1:$G$49,MATCH(orders!$D381,Product!$A$1:$A$49,0),MATCH(orders!K$1,Product!$A$1:$G$1,0))</f>
        <v>0.5</v>
      </c>
      <c r="L381" s="5">
        <f>INDEX(Product!$A$1:$G$49,MATCH(orders!$D381,Product!$A$1:$A$49,0),MATCH(orders!L$1,Product!$A$1:$G$1,0))</f>
        <v>7.169999999999999</v>
      </c>
      <c r="M381" s="5">
        <f t="shared" si="5"/>
        <v>43.019999999999996</v>
      </c>
      <c r="N381" t="str" cm="1">
        <f t="array" ref="N381">_xlfn.IFS(I381="Rob", "Robusta", I381="Exc", "Excelsa", I381="Ara", "Arabica", I381="Lib", "Liberica", TRUE, "")</f>
        <v>Robusta</v>
      </c>
      <c r="O381" t="str" cm="1">
        <f t="array" ref="O381">_xlfn.IFS(J381="M", "Medium", J381="L", "Light", J381="D", "Dark", TRUE, "")</f>
        <v>Light</v>
      </c>
      <c r="P381" t="str">
        <f>_xlfn.XLOOKUP(Table1[[#This Row],[Customer ID]], customers!$A$1:$A$1001, customers!$I$1:$I$1001,, 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INDEX(Product!$A$1:$G$49,MATCH(orders!$D382,Product!$A$1:$A$49,0),MATCH(orders!I$1,Product!$A$1:$G$1,0))</f>
        <v>Lib</v>
      </c>
      <c r="J382" t="str">
        <f>INDEX(Product!$A$1:$G$49,MATCH(orders!$D382,Product!$A$1:$A$49,0),MATCH(orders!J$1,Product!$A$1:$G$1,0))</f>
        <v>D</v>
      </c>
      <c r="K382" s="4">
        <f>INDEX(Product!$A$1:$G$49,MATCH(orders!$D382,Product!$A$1:$A$49,0),MATCH(orders!K$1,Product!$A$1:$G$1,0))</f>
        <v>0.5</v>
      </c>
      <c r="L382" s="5">
        <f>INDEX(Product!$A$1:$G$49,MATCH(orders!$D382,Product!$A$1:$A$49,0),MATCH(orders!L$1,Product!$A$1:$G$1,0))</f>
        <v>7.77</v>
      </c>
      <c r="M382" s="5">
        <f t="shared" si="5"/>
        <v>23.31</v>
      </c>
      <c r="N382" t="str" cm="1">
        <f t="array" ref="N382">_xlfn.IFS(I382="Rob", "Robusta", I382="Exc", "Excelsa", I382="Ara", "Arabica", I382="Lib", "Liberica", TRUE, "")</f>
        <v>Liberica</v>
      </c>
      <c r="O382" t="str" cm="1">
        <f t="array" ref="O382">_xlfn.IFS(J382="M", "Medium", J382="L", "Light", J382="D", "Dark", TRUE, "")</f>
        <v>Dark</v>
      </c>
      <c r="P382" t="str">
        <f>_xlfn.XLOOKUP(Table1[[#This Row],[Customer ID]], customers!$A$1:$A$1001, customers!$I$1:$I$1001,, 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INDEX(Product!$A$1:$G$49,MATCH(orders!$D383,Product!$A$1:$A$49,0),MATCH(orders!I$1,Product!$A$1:$G$1,0))</f>
        <v>Ara</v>
      </c>
      <c r="J383" t="str">
        <f>INDEX(Product!$A$1:$G$49,MATCH(orders!$D383,Product!$A$1:$A$49,0),MATCH(orders!J$1,Product!$A$1:$G$1,0))</f>
        <v>D</v>
      </c>
      <c r="K383" s="4">
        <f>INDEX(Product!$A$1:$G$49,MATCH(orders!$D383,Product!$A$1:$A$49,0),MATCH(orders!K$1,Product!$A$1:$G$1,0))</f>
        <v>0.2</v>
      </c>
      <c r="L383" s="5">
        <f>INDEX(Product!$A$1:$G$49,MATCH(orders!$D383,Product!$A$1:$A$49,0),MATCH(orders!L$1,Product!$A$1:$G$1,0))</f>
        <v>2.9849999999999999</v>
      </c>
      <c r="M383" s="5">
        <f t="shared" si="5"/>
        <v>14.924999999999999</v>
      </c>
      <c r="N383" t="str" cm="1">
        <f t="array" ref="N383">_xlfn.IFS(I383="Rob", "Robusta", I383="Exc", "Excelsa", I383="Ara", "Arabica", I383="Lib", "Liberica", TRUE, "")</f>
        <v>Arabica</v>
      </c>
      <c r="O383" t="str" cm="1">
        <f t="array" ref="O383">_xlfn.IFS(J383="M", "Medium", J383="L", "Light", J383="D", "Dark", TRUE, "")</f>
        <v>Dark</v>
      </c>
      <c r="P383" t="str">
        <f>_xlfn.XLOOKUP(Table1[[#This Row],[Customer ID]], customers!$A$1:$A$1001, customers!$I$1:$I$1001,, 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INDEX(Product!$A$1:$G$49,MATCH(orders!$D384,Product!$A$1:$A$49,0),MATCH(orders!I$1,Product!$A$1:$G$1,0))</f>
        <v>Exc</v>
      </c>
      <c r="J384" t="str">
        <f>INDEX(Product!$A$1:$G$49,MATCH(orders!$D384,Product!$A$1:$A$49,0),MATCH(orders!J$1,Product!$A$1:$G$1,0))</f>
        <v>D</v>
      </c>
      <c r="K384" s="4">
        <f>INDEX(Product!$A$1:$G$49,MATCH(orders!$D384,Product!$A$1:$A$49,0),MATCH(orders!K$1,Product!$A$1:$G$1,0))</f>
        <v>0.5</v>
      </c>
      <c r="L384" s="5">
        <f>INDEX(Product!$A$1:$G$49,MATCH(orders!$D384,Product!$A$1:$A$49,0),MATCH(orders!L$1,Product!$A$1:$G$1,0))</f>
        <v>7.29</v>
      </c>
      <c r="M384" s="5">
        <f t="shared" si="5"/>
        <v>21.87</v>
      </c>
      <c r="N384" t="str" cm="1">
        <f t="array" ref="N384">_xlfn.IFS(I384="Rob", "Robusta", I384="Exc", "Excelsa", I384="Ara", "Arabica", I384="Lib", "Liberica", TRUE, "")</f>
        <v>Excelsa</v>
      </c>
      <c r="O384" t="str" cm="1">
        <f t="array" ref="O384">_xlfn.IFS(J384="M", "Medium", J384="L", "Light", J384="D", "Dark", TRUE, "")</f>
        <v>Dark</v>
      </c>
      <c r="P384" t="str">
        <f>_xlfn.XLOOKUP(Table1[[#This Row],[Customer ID]], customers!$A$1:$A$1001, customers!$I$1:$I$1001,, 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INDEX(Product!$A$1:$G$49,MATCH(orders!$D385,Product!$A$1:$A$49,0),MATCH(orders!I$1,Product!$A$1:$G$1,0))</f>
        <v>Exc</v>
      </c>
      <c r="J385" t="str">
        <f>INDEX(Product!$A$1:$G$49,MATCH(orders!$D385,Product!$A$1:$A$49,0),MATCH(orders!J$1,Product!$A$1:$G$1,0))</f>
        <v>L</v>
      </c>
      <c r="K385" s="4">
        <f>INDEX(Product!$A$1:$G$49,MATCH(orders!$D385,Product!$A$1:$A$49,0),MATCH(orders!K$1,Product!$A$1:$G$1,0))</f>
        <v>0.5</v>
      </c>
      <c r="L385" s="5">
        <f>INDEX(Product!$A$1:$G$49,MATCH(orders!$D385,Product!$A$1:$A$49,0),MATCH(orders!L$1,Product!$A$1:$G$1,0))</f>
        <v>8.91</v>
      </c>
      <c r="M385" s="5">
        <f t="shared" si="5"/>
        <v>53.46</v>
      </c>
      <c r="N385" t="str" cm="1">
        <f t="array" ref="N385">_xlfn.IFS(I385="Rob", "Robusta", I385="Exc", "Excelsa", I385="Ara", "Arabica", I385="Lib", "Liberica", TRUE, "")</f>
        <v>Excelsa</v>
      </c>
      <c r="O385" t="str" cm="1">
        <f t="array" ref="O385">_xlfn.IFS(J385="M", "Medium", J385="L", "Light", J385="D", "Dark", TRUE, "")</f>
        <v>Light</v>
      </c>
      <c r="P385" t="str">
        <f>_xlfn.XLOOKUP(Table1[[#This Row],[Customer ID]], customers!$A$1:$A$1001, customers!$I$1:$I$1001,, 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INDEX(Product!$A$1:$G$49,MATCH(orders!$D386,Product!$A$1:$A$49,0),MATCH(orders!I$1,Product!$A$1:$G$1,0))</f>
        <v>Ara</v>
      </c>
      <c r="J386" t="str">
        <f>INDEX(Product!$A$1:$G$49,MATCH(orders!$D386,Product!$A$1:$A$49,0),MATCH(orders!J$1,Product!$A$1:$G$1,0))</f>
        <v>L</v>
      </c>
      <c r="K386" s="4">
        <f>INDEX(Product!$A$1:$G$49,MATCH(orders!$D386,Product!$A$1:$A$49,0),MATCH(orders!K$1,Product!$A$1:$G$1,0))</f>
        <v>2.5</v>
      </c>
      <c r="L386" s="5">
        <f>INDEX(Product!$A$1:$G$49,MATCH(orders!$D386,Product!$A$1:$A$49,0),MATCH(orders!L$1,Product!$A$1:$G$1,0))</f>
        <v>29.784999999999997</v>
      </c>
      <c r="M386" s="5">
        <f t="shared" ref="M386:M449" si="6">L386*E386</f>
        <v>119.13999999999999</v>
      </c>
      <c r="N386" t="str" cm="1">
        <f t="array" ref="N386">_xlfn.IFS(I386="Rob", "Robusta", I386="Exc", "Excelsa", I386="Ara", "Arabica", I386="Lib", "Liberica", TRUE, "")</f>
        <v>Arabica</v>
      </c>
      <c r="O386" t="str" cm="1">
        <f t="array" ref="O386">_xlfn.IFS(J386="M", "Medium", J386="L", "Light", J386="D", "Dark", TRUE, "")</f>
        <v>Light</v>
      </c>
      <c r="P386" t="str">
        <f>_xlfn.XLOOKUP(Table1[[#This Row],[Customer ID]], customers!$A$1:$A$1001, customers!$I$1:$I$1001,, 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INDEX(Product!$A$1:$G$49,MATCH(orders!$D387,Product!$A$1:$A$49,0),MATCH(orders!I$1,Product!$A$1:$G$1,0))</f>
        <v>Lib</v>
      </c>
      <c r="J387" t="str">
        <f>INDEX(Product!$A$1:$G$49,MATCH(orders!$D387,Product!$A$1:$A$49,0),MATCH(orders!J$1,Product!$A$1:$G$1,0))</f>
        <v>M</v>
      </c>
      <c r="K387" s="4">
        <f>INDEX(Product!$A$1:$G$49,MATCH(orders!$D387,Product!$A$1:$A$49,0),MATCH(orders!K$1,Product!$A$1:$G$1,0))</f>
        <v>0.5</v>
      </c>
      <c r="L387" s="5">
        <f>INDEX(Product!$A$1:$G$49,MATCH(orders!$D387,Product!$A$1:$A$49,0),MATCH(orders!L$1,Product!$A$1:$G$1,0))</f>
        <v>8.73</v>
      </c>
      <c r="M387" s="5">
        <f t="shared" si="6"/>
        <v>43.650000000000006</v>
      </c>
      <c r="N387" t="str" cm="1">
        <f t="array" ref="N387">_xlfn.IFS(I387="Rob", "Robusta", I387="Exc", "Excelsa", I387="Ara", "Arabica", I387="Lib", "Liberica", TRUE, "")</f>
        <v>Liberica</v>
      </c>
      <c r="O387" t="str" cm="1">
        <f t="array" ref="O387">_xlfn.IFS(J387="M", "Medium", J387="L", "Light", J387="D", "Dark", TRUE, "")</f>
        <v>Medium</v>
      </c>
      <c r="P387" t="str">
        <f>_xlfn.XLOOKUP(Table1[[#This Row],[Customer ID]], customers!$A$1:$A$1001, customers!$I$1:$I$1001,, 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INDEX(Product!$A$1:$G$49,MATCH(orders!$D388,Product!$A$1:$A$49,0),MATCH(orders!I$1,Product!$A$1:$G$1,0))</f>
        <v>Ara</v>
      </c>
      <c r="J388" t="str">
        <f>INDEX(Product!$A$1:$G$49,MATCH(orders!$D388,Product!$A$1:$A$49,0),MATCH(orders!J$1,Product!$A$1:$G$1,0))</f>
        <v>D</v>
      </c>
      <c r="K388" s="4">
        <f>INDEX(Product!$A$1:$G$49,MATCH(orders!$D388,Product!$A$1:$A$49,0),MATCH(orders!K$1,Product!$A$1:$G$1,0))</f>
        <v>0.2</v>
      </c>
      <c r="L388" s="5">
        <f>INDEX(Product!$A$1:$G$49,MATCH(orders!$D388,Product!$A$1:$A$49,0),MATCH(orders!L$1,Product!$A$1:$G$1,0))</f>
        <v>2.9849999999999999</v>
      </c>
      <c r="M388" s="5">
        <f t="shared" si="6"/>
        <v>17.91</v>
      </c>
      <c r="N388" t="str" cm="1">
        <f t="array" ref="N388">_xlfn.IFS(I388="Rob", "Robusta", I388="Exc", "Excelsa", I388="Ara", "Arabica", I388="Lib", "Liberica", TRUE, "")</f>
        <v>Arabica</v>
      </c>
      <c r="O388" t="str" cm="1">
        <f t="array" ref="O388">_xlfn.IFS(J388="M", "Medium", J388="L", "Light", J388="D", "Dark", TRUE, "")</f>
        <v>Dark</v>
      </c>
      <c r="P388" t="str">
        <f>_xlfn.XLOOKUP(Table1[[#This Row],[Customer ID]], customers!$A$1:$A$1001, customers!$I$1:$I$1001,, 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INDEX(Product!$A$1:$G$49,MATCH(orders!$D389,Product!$A$1:$A$49,0),MATCH(orders!I$1,Product!$A$1:$G$1,0))</f>
        <v>Exc</v>
      </c>
      <c r="J389" t="str">
        <f>INDEX(Product!$A$1:$G$49,MATCH(orders!$D389,Product!$A$1:$A$49,0),MATCH(orders!J$1,Product!$A$1:$G$1,0))</f>
        <v>L</v>
      </c>
      <c r="K389" s="4">
        <f>INDEX(Product!$A$1:$G$49,MATCH(orders!$D389,Product!$A$1:$A$49,0),MATCH(orders!K$1,Product!$A$1:$G$1,0))</f>
        <v>1</v>
      </c>
      <c r="L389" s="5">
        <f>INDEX(Product!$A$1:$G$49,MATCH(orders!$D389,Product!$A$1:$A$49,0),MATCH(orders!L$1,Product!$A$1:$G$1,0))</f>
        <v>14.85</v>
      </c>
      <c r="M389" s="5">
        <f t="shared" si="6"/>
        <v>74.25</v>
      </c>
      <c r="N389" t="str" cm="1">
        <f t="array" ref="N389">_xlfn.IFS(I389="Rob", "Robusta", I389="Exc", "Excelsa", I389="Ara", "Arabica", I389="Lib", "Liberica", TRUE, "")</f>
        <v>Excelsa</v>
      </c>
      <c r="O389" t="str" cm="1">
        <f t="array" ref="O389">_xlfn.IFS(J389="M", "Medium", J389="L", "Light", J389="D", "Dark", TRUE, "")</f>
        <v>Light</v>
      </c>
      <c r="P389" t="str">
        <f>_xlfn.XLOOKUP(Table1[[#This Row],[Customer ID]], customers!$A$1:$A$1001, customers!$I$1:$I$1001,, 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INDEX(Product!$A$1:$G$49,MATCH(orders!$D390,Product!$A$1:$A$49,0),MATCH(orders!I$1,Product!$A$1:$G$1,0))</f>
        <v>Lib</v>
      </c>
      <c r="J390" t="str">
        <f>INDEX(Product!$A$1:$G$49,MATCH(orders!$D390,Product!$A$1:$A$49,0),MATCH(orders!J$1,Product!$A$1:$G$1,0))</f>
        <v>D</v>
      </c>
      <c r="K390" s="4">
        <f>INDEX(Product!$A$1:$G$49,MATCH(orders!$D390,Product!$A$1:$A$49,0),MATCH(orders!K$1,Product!$A$1:$G$1,0))</f>
        <v>0.2</v>
      </c>
      <c r="L390" s="5">
        <f>INDEX(Product!$A$1:$G$49,MATCH(orders!$D390,Product!$A$1:$A$49,0),MATCH(orders!L$1,Product!$A$1:$G$1,0))</f>
        <v>3.8849999999999998</v>
      </c>
      <c r="M390" s="5">
        <f t="shared" si="6"/>
        <v>11.654999999999999</v>
      </c>
      <c r="N390" t="str" cm="1">
        <f t="array" ref="N390">_xlfn.IFS(I390="Rob", "Robusta", I390="Exc", "Excelsa", I390="Ara", "Arabica", I390="Lib", "Liberica", TRUE, "")</f>
        <v>Liberica</v>
      </c>
      <c r="O390" t="str" cm="1">
        <f t="array" ref="O390">_xlfn.IFS(J390="M", "Medium", J390="L", "Light", J390="D", "Dark", TRUE, "")</f>
        <v>Dark</v>
      </c>
      <c r="P390" t="str">
        <f>_xlfn.XLOOKUP(Table1[[#This Row],[Customer ID]], customers!$A$1:$A$1001, customers!$I$1:$I$1001,, 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INDEX(Product!$A$1:$G$49,MATCH(orders!$D391,Product!$A$1:$A$49,0),MATCH(orders!I$1,Product!$A$1:$G$1,0))</f>
        <v>Lib</v>
      </c>
      <c r="J391" t="str">
        <f>INDEX(Product!$A$1:$G$49,MATCH(orders!$D391,Product!$A$1:$A$49,0),MATCH(orders!J$1,Product!$A$1:$G$1,0))</f>
        <v>D</v>
      </c>
      <c r="K391" s="4">
        <f>INDEX(Product!$A$1:$G$49,MATCH(orders!$D391,Product!$A$1:$A$49,0),MATCH(orders!K$1,Product!$A$1:$G$1,0))</f>
        <v>0.5</v>
      </c>
      <c r="L391" s="5">
        <f>INDEX(Product!$A$1:$G$49,MATCH(orders!$D391,Product!$A$1:$A$49,0),MATCH(orders!L$1,Product!$A$1:$G$1,0))</f>
        <v>7.77</v>
      </c>
      <c r="M391" s="5">
        <f t="shared" si="6"/>
        <v>23.31</v>
      </c>
      <c r="N391" t="str" cm="1">
        <f t="array" ref="N391">_xlfn.IFS(I391="Rob", "Robusta", I391="Exc", "Excelsa", I391="Ara", "Arabica", I391="Lib", "Liberica", TRUE, "")</f>
        <v>Liberica</v>
      </c>
      <c r="O391" t="str" cm="1">
        <f t="array" ref="O391">_xlfn.IFS(J391="M", "Medium", J391="L", "Light", J391="D", "Dark", TRUE, "")</f>
        <v>Dark</v>
      </c>
      <c r="P391" t="str">
        <f>_xlfn.XLOOKUP(Table1[[#This Row],[Customer ID]], customers!$A$1:$A$1001, customers!$I$1:$I$1001,, 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INDEX(Product!$A$1:$G$49,MATCH(orders!$D392,Product!$A$1:$A$49,0),MATCH(orders!I$1,Product!$A$1:$G$1,0))</f>
        <v>Exc</v>
      </c>
      <c r="J392" t="str">
        <f>INDEX(Product!$A$1:$G$49,MATCH(orders!$D392,Product!$A$1:$A$49,0),MATCH(orders!J$1,Product!$A$1:$G$1,0))</f>
        <v>D</v>
      </c>
      <c r="K392" s="4">
        <f>INDEX(Product!$A$1:$G$49,MATCH(orders!$D392,Product!$A$1:$A$49,0),MATCH(orders!K$1,Product!$A$1:$G$1,0))</f>
        <v>0.5</v>
      </c>
      <c r="L392" s="5">
        <f>INDEX(Product!$A$1:$G$49,MATCH(orders!$D392,Product!$A$1:$A$49,0),MATCH(orders!L$1,Product!$A$1:$G$1,0))</f>
        <v>7.29</v>
      </c>
      <c r="M392" s="5">
        <f t="shared" si="6"/>
        <v>14.58</v>
      </c>
      <c r="N392" t="str" cm="1">
        <f t="array" ref="N392">_xlfn.IFS(I392="Rob", "Robusta", I392="Exc", "Excelsa", I392="Ara", "Arabica", I392="Lib", "Liberica", TRUE, "")</f>
        <v>Excelsa</v>
      </c>
      <c r="O392" t="str" cm="1">
        <f t="array" ref="O392">_xlfn.IFS(J392="M", "Medium", J392="L", "Light", J392="D", "Dark", TRUE, "")</f>
        <v>Dark</v>
      </c>
      <c r="P392" t="str">
        <f>_xlfn.XLOOKUP(Table1[[#This Row],[Customer ID]], customers!$A$1:$A$1001, customers!$I$1:$I$1001,, 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INDEX(Product!$A$1:$G$49,MATCH(orders!$D393,Product!$A$1:$A$49,0),MATCH(orders!I$1,Product!$A$1:$G$1,0))</f>
        <v>Ara</v>
      </c>
      <c r="J393" t="str">
        <f>INDEX(Product!$A$1:$G$49,MATCH(orders!$D393,Product!$A$1:$A$49,0),MATCH(orders!J$1,Product!$A$1:$G$1,0))</f>
        <v>M</v>
      </c>
      <c r="K393" s="4">
        <f>INDEX(Product!$A$1:$G$49,MATCH(orders!$D393,Product!$A$1:$A$49,0),MATCH(orders!K$1,Product!$A$1:$G$1,0))</f>
        <v>0.5</v>
      </c>
      <c r="L393" s="5">
        <f>INDEX(Product!$A$1:$G$49,MATCH(orders!$D393,Product!$A$1:$A$49,0),MATCH(orders!L$1,Product!$A$1:$G$1,0))</f>
        <v>6.75</v>
      </c>
      <c r="M393" s="5">
        <f t="shared" si="6"/>
        <v>13.5</v>
      </c>
      <c r="N393" t="str" cm="1">
        <f t="array" ref="N393">_xlfn.IFS(I393="Rob", "Robusta", I393="Exc", "Excelsa", I393="Ara", "Arabica", I393="Lib", "Liberica", TRUE, "")</f>
        <v>Arabica</v>
      </c>
      <c r="O393" t="str" cm="1">
        <f t="array" ref="O393">_xlfn.IFS(J393="M", "Medium", J393="L", "Light", J393="D", "Dark", TRUE, "")</f>
        <v>Medium</v>
      </c>
      <c r="P393" t="str">
        <f>_xlfn.XLOOKUP(Table1[[#This Row],[Customer ID]], customers!$A$1:$A$1001, customers!$I$1:$I$1001,, 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INDEX(Product!$A$1:$G$49,MATCH(orders!$D394,Product!$A$1:$A$49,0),MATCH(orders!I$1,Product!$A$1:$G$1,0))</f>
        <v>Exc</v>
      </c>
      <c r="J394" t="str">
        <f>INDEX(Product!$A$1:$G$49,MATCH(orders!$D394,Product!$A$1:$A$49,0),MATCH(orders!J$1,Product!$A$1:$G$1,0))</f>
        <v>L</v>
      </c>
      <c r="K394" s="4">
        <f>INDEX(Product!$A$1:$G$49,MATCH(orders!$D394,Product!$A$1:$A$49,0),MATCH(orders!K$1,Product!$A$1:$G$1,0))</f>
        <v>1</v>
      </c>
      <c r="L394" s="5">
        <f>INDEX(Product!$A$1:$G$49,MATCH(orders!$D394,Product!$A$1:$A$49,0),MATCH(orders!L$1,Product!$A$1:$G$1,0))</f>
        <v>14.85</v>
      </c>
      <c r="M394" s="5">
        <f t="shared" si="6"/>
        <v>89.1</v>
      </c>
      <c r="N394" t="str" cm="1">
        <f t="array" ref="N394">_xlfn.IFS(I394="Rob", "Robusta", I394="Exc", "Excelsa", I394="Ara", "Arabica", I394="Lib", "Liberica", TRUE, "")</f>
        <v>Excelsa</v>
      </c>
      <c r="O394" t="str" cm="1">
        <f t="array" ref="O394">_xlfn.IFS(J394="M", "Medium", J394="L", "Light", J394="D", "Dark", TRUE, "")</f>
        <v>Light</v>
      </c>
      <c r="P394" t="str">
        <f>_xlfn.XLOOKUP(Table1[[#This Row],[Customer ID]], customers!$A$1:$A$1001, customers!$I$1:$I$1001,, 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INDEX(Product!$A$1:$G$49,MATCH(orders!$D395,Product!$A$1:$A$49,0),MATCH(orders!I$1,Product!$A$1:$G$1,0))</f>
        <v>Ara</v>
      </c>
      <c r="J395" t="str">
        <f>INDEX(Product!$A$1:$G$49,MATCH(orders!$D395,Product!$A$1:$A$49,0),MATCH(orders!J$1,Product!$A$1:$G$1,0))</f>
        <v>L</v>
      </c>
      <c r="K395" s="4">
        <f>INDEX(Product!$A$1:$G$49,MATCH(orders!$D395,Product!$A$1:$A$49,0),MATCH(orders!K$1,Product!$A$1:$G$1,0))</f>
        <v>0.2</v>
      </c>
      <c r="L395" s="5">
        <f>INDEX(Product!$A$1:$G$49,MATCH(orders!$D395,Product!$A$1:$A$49,0),MATCH(orders!L$1,Product!$A$1:$G$1,0))</f>
        <v>3.8849999999999998</v>
      </c>
      <c r="M395" s="5">
        <f t="shared" si="6"/>
        <v>3.8849999999999998</v>
      </c>
      <c r="N395" t="str" cm="1">
        <f t="array" ref="N395">_xlfn.IFS(I395="Rob", "Robusta", I395="Exc", "Excelsa", I395="Ara", "Arabica", I395="Lib", "Liberica", TRUE, "")</f>
        <v>Arabica</v>
      </c>
      <c r="O395" t="str" cm="1">
        <f t="array" ref="O395">_xlfn.IFS(J395="M", "Medium", J395="L", "Light", J395="D", "Dark", TRUE, "")</f>
        <v>Light</v>
      </c>
      <c r="P395" t="str">
        <f>_xlfn.XLOOKUP(Table1[[#This Row],[Customer ID]], customers!$A$1:$A$1001, customers!$I$1:$I$1001,, 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INDEX(Product!$A$1:$G$49,MATCH(orders!$D396,Product!$A$1:$A$49,0),MATCH(orders!I$1,Product!$A$1:$G$1,0))</f>
        <v>Rob</v>
      </c>
      <c r="J396" t="str">
        <f>INDEX(Product!$A$1:$G$49,MATCH(orders!$D396,Product!$A$1:$A$49,0),MATCH(orders!J$1,Product!$A$1:$G$1,0))</f>
        <v>L</v>
      </c>
      <c r="K396" s="4">
        <f>INDEX(Product!$A$1:$G$49,MATCH(orders!$D396,Product!$A$1:$A$49,0),MATCH(orders!K$1,Product!$A$1:$G$1,0))</f>
        <v>2.5</v>
      </c>
      <c r="L396" s="5">
        <f>INDEX(Product!$A$1:$G$49,MATCH(orders!$D396,Product!$A$1:$A$49,0),MATCH(orders!L$1,Product!$A$1:$G$1,0))</f>
        <v>27.484999999999996</v>
      </c>
      <c r="M396" s="5">
        <f t="shared" si="6"/>
        <v>109.93999999999998</v>
      </c>
      <c r="N396" t="str" cm="1">
        <f t="array" ref="N396">_xlfn.IFS(I396="Rob", "Robusta", I396="Exc", "Excelsa", I396="Ara", "Arabica", I396="Lib", "Liberica", TRUE, "")</f>
        <v>Robusta</v>
      </c>
      <c r="O396" t="str" cm="1">
        <f t="array" ref="O396">_xlfn.IFS(J396="M", "Medium", J396="L", "Light", J396="D", "Dark", TRUE, "")</f>
        <v>Light</v>
      </c>
      <c r="P396" t="str">
        <f>_xlfn.XLOOKUP(Table1[[#This Row],[Customer ID]], customers!$A$1:$A$1001, customers!$I$1:$I$1001,, 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INDEX(Product!$A$1:$G$49,MATCH(orders!$D397,Product!$A$1:$A$49,0),MATCH(orders!I$1,Product!$A$1:$G$1,0))</f>
        <v>Lib</v>
      </c>
      <c r="J397" t="str">
        <f>INDEX(Product!$A$1:$G$49,MATCH(orders!$D397,Product!$A$1:$A$49,0),MATCH(orders!J$1,Product!$A$1:$G$1,0))</f>
        <v>D</v>
      </c>
      <c r="K397" s="4">
        <f>INDEX(Product!$A$1:$G$49,MATCH(orders!$D397,Product!$A$1:$A$49,0),MATCH(orders!K$1,Product!$A$1:$G$1,0))</f>
        <v>0.5</v>
      </c>
      <c r="L397" s="5">
        <f>INDEX(Product!$A$1:$G$49,MATCH(orders!$D397,Product!$A$1:$A$49,0),MATCH(orders!L$1,Product!$A$1:$G$1,0))</f>
        <v>7.77</v>
      </c>
      <c r="M397" s="5">
        <f t="shared" si="6"/>
        <v>46.62</v>
      </c>
      <c r="N397" t="str" cm="1">
        <f t="array" ref="N397">_xlfn.IFS(I397="Rob", "Robusta", I397="Exc", "Excelsa", I397="Ara", "Arabica", I397="Lib", "Liberica", TRUE, "")</f>
        <v>Liberica</v>
      </c>
      <c r="O397" t="str" cm="1">
        <f t="array" ref="O397">_xlfn.IFS(J397="M", "Medium", J397="L", "Light", J397="D", "Dark", TRUE, "")</f>
        <v>Dark</v>
      </c>
      <c r="P397" t="str">
        <f>_xlfn.XLOOKUP(Table1[[#This Row],[Customer ID]], customers!$A$1:$A$1001, customers!$I$1:$I$1001,, 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INDEX(Product!$A$1:$G$49,MATCH(orders!$D398,Product!$A$1:$A$49,0),MATCH(orders!I$1,Product!$A$1:$G$1,0))</f>
        <v>Ara</v>
      </c>
      <c r="J398" t="str">
        <f>INDEX(Product!$A$1:$G$49,MATCH(orders!$D398,Product!$A$1:$A$49,0),MATCH(orders!J$1,Product!$A$1:$G$1,0))</f>
        <v>L</v>
      </c>
      <c r="K398" s="4">
        <f>INDEX(Product!$A$1:$G$49,MATCH(orders!$D398,Product!$A$1:$A$49,0),MATCH(orders!K$1,Product!$A$1:$G$1,0))</f>
        <v>0.5</v>
      </c>
      <c r="L398" s="5">
        <f>INDEX(Product!$A$1:$G$49,MATCH(orders!$D398,Product!$A$1:$A$49,0),MATCH(orders!L$1,Product!$A$1:$G$1,0))</f>
        <v>7.77</v>
      </c>
      <c r="M398" s="5">
        <f t="shared" si="6"/>
        <v>38.849999999999994</v>
      </c>
      <c r="N398" t="str" cm="1">
        <f t="array" ref="N398">_xlfn.IFS(I398="Rob", "Robusta", I398="Exc", "Excelsa", I398="Ara", "Arabica", I398="Lib", "Liberica", TRUE, "")</f>
        <v>Arabica</v>
      </c>
      <c r="O398" t="str" cm="1">
        <f t="array" ref="O398">_xlfn.IFS(J398="M", "Medium", J398="L", "Light", J398="D", "Dark", TRUE, "")</f>
        <v>Light</v>
      </c>
      <c r="P398" t="str">
        <f>_xlfn.XLOOKUP(Table1[[#This Row],[Customer ID]], customers!$A$1:$A$1001, customers!$I$1:$I$1001,, 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INDEX(Product!$A$1:$G$49,MATCH(orders!$D399,Product!$A$1:$A$49,0),MATCH(orders!I$1,Product!$A$1:$G$1,0))</f>
        <v>Lib</v>
      </c>
      <c r="J399" t="str">
        <f>INDEX(Product!$A$1:$G$49,MATCH(orders!$D399,Product!$A$1:$A$49,0),MATCH(orders!J$1,Product!$A$1:$G$1,0))</f>
        <v>D</v>
      </c>
      <c r="K399" s="4">
        <f>INDEX(Product!$A$1:$G$49,MATCH(orders!$D399,Product!$A$1:$A$49,0),MATCH(orders!K$1,Product!$A$1:$G$1,0))</f>
        <v>0.5</v>
      </c>
      <c r="L399" s="5">
        <f>INDEX(Product!$A$1:$G$49,MATCH(orders!$D399,Product!$A$1:$A$49,0),MATCH(orders!L$1,Product!$A$1:$G$1,0))</f>
        <v>7.77</v>
      </c>
      <c r="M399" s="5">
        <f t="shared" si="6"/>
        <v>31.08</v>
      </c>
      <c r="N399" t="str" cm="1">
        <f t="array" ref="N399">_xlfn.IFS(I399="Rob", "Robusta", I399="Exc", "Excelsa", I399="Ara", "Arabica", I399="Lib", "Liberica", TRUE, "")</f>
        <v>Liberica</v>
      </c>
      <c r="O399" t="str" cm="1">
        <f t="array" ref="O399">_xlfn.IFS(J399="M", "Medium", J399="L", "Light", J399="D", "Dark", TRUE, "")</f>
        <v>Dark</v>
      </c>
      <c r="P399" t="str">
        <f>_xlfn.XLOOKUP(Table1[[#This Row],[Customer ID]], customers!$A$1:$A$1001, customers!$I$1:$I$1001,, 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INDEX(Product!$A$1:$G$49,MATCH(orders!$D400,Product!$A$1:$A$49,0),MATCH(orders!I$1,Product!$A$1:$G$1,0))</f>
        <v>Ara</v>
      </c>
      <c r="J400" t="str">
        <f>INDEX(Product!$A$1:$G$49,MATCH(orders!$D400,Product!$A$1:$A$49,0),MATCH(orders!J$1,Product!$A$1:$G$1,0))</f>
        <v>D</v>
      </c>
      <c r="K400" s="4">
        <f>INDEX(Product!$A$1:$G$49,MATCH(orders!$D400,Product!$A$1:$A$49,0),MATCH(orders!K$1,Product!$A$1:$G$1,0))</f>
        <v>0.2</v>
      </c>
      <c r="L400" s="5">
        <f>INDEX(Product!$A$1:$G$49,MATCH(orders!$D400,Product!$A$1:$A$49,0),MATCH(orders!L$1,Product!$A$1:$G$1,0))</f>
        <v>2.9849999999999999</v>
      </c>
      <c r="M400" s="5">
        <f t="shared" si="6"/>
        <v>17.91</v>
      </c>
      <c r="N400" t="str" cm="1">
        <f t="array" ref="N400">_xlfn.IFS(I400="Rob", "Robusta", I400="Exc", "Excelsa", I400="Ara", "Arabica", I400="Lib", "Liberica", TRUE, "")</f>
        <v>Arabica</v>
      </c>
      <c r="O400" t="str" cm="1">
        <f t="array" ref="O400">_xlfn.IFS(J400="M", "Medium", J400="L", "Light", J400="D", "Dark", TRUE, "")</f>
        <v>Dark</v>
      </c>
      <c r="P400" t="str">
        <f>_xlfn.XLOOKUP(Table1[[#This Row],[Customer ID]], customers!$A$1:$A$1001, customers!$I$1:$I$1001,, 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INDEX(Product!$A$1:$G$49,MATCH(orders!$D401,Product!$A$1:$A$49,0),MATCH(orders!I$1,Product!$A$1:$G$1,0))</f>
        <v>Exc</v>
      </c>
      <c r="J401" t="str">
        <f>INDEX(Product!$A$1:$G$49,MATCH(orders!$D401,Product!$A$1:$A$49,0),MATCH(orders!J$1,Product!$A$1:$G$1,0))</f>
        <v>D</v>
      </c>
      <c r="K401" s="4">
        <f>INDEX(Product!$A$1:$G$49,MATCH(orders!$D401,Product!$A$1:$A$49,0),MATCH(orders!K$1,Product!$A$1:$G$1,0))</f>
        <v>2.5</v>
      </c>
      <c r="L401" s="5">
        <f>INDEX(Product!$A$1:$G$49,MATCH(orders!$D401,Product!$A$1:$A$49,0),MATCH(orders!L$1,Product!$A$1:$G$1,0))</f>
        <v>27.945</v>
      </c>
      <c r="M401" s="5">
        <f t="shared" si="6"/>
        <v>167.67000000000002</v>
      </c>
      <c r="N401" t="str" cm="1">
        <f t="array" ref="N401">_xlfn.IFS(I401="Rob", "Robusta", I401="Exc", "Excelsa", I401="Ara", "Arabica", I401="Lib", "Liberica", TRUE, "")</f>
        <v>Excelsa</v>
      </c>
      <c r="O401" t="str" cm="1">
        <f t="array" ref="O401">_xlfn.IFS(J401="M", "Medium", J401="L", "Light", J401="D", "Dark", TRUE, "")</f>
        <v>Dark</v>
      </c>
      <c r="P401" t="str">
        <f>_xlfn.XLOOKUP(Table1[[#This Row],[Customer ID]], customers!$A$1:$A$1001, customers!$I$1:$I$1001,, 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INDEX(Product!$A$1:$G$49,MATCH(orders!$D402,Product!$A$1:$A$49,0),MATCH(orders!I$1,Product!$A$1:$G$1,0))</f>
        <v>Lib</v>
      </c>
      <c r="J402" t="str">
        <f>INDEX(Product!$A$1:$G$49,MATCH(orders!$D402,Product!$A$1:$A$49,0),MATCH(orders!J$1,Product!$A$1:$G$1,0))</f>
        <v>L</v>
      </c>
      <c r="K402" s="4">
        <f>INDEX(Product!$A$1:$G$49,MATCH(orders!$D402,Product!$A$1:$A$49,0),MATCH(orders!K$1,Product!$A$1:$G$1,0))</f>
        <v>1</v>
      </c>
      <c r="L402" s="5">
        <f>INDEX(Product!$A$1:$G$49,MATCH(orders!$D402,Product!$A$1:$A$49,0),MATCH(orders!L$1,Product!$A$1:$G$1,0))</f>
        <v>15.85</v>
      </c>
      <c r="M402" s="5">
        <f t="shared" si="6"/>
        <v>63.4</v>
      </c>
      <c r="N402" t="str" cm="1">
        <f t="array" ref="N402">_xlfn.IFS(I402="Rob", "Robusta", I402="Exc", "Excelsa", I402="Ara", "Arabica", I402="Lib", "Liberica", TRUE, "")</f>
        <v>Liberica</v>
      </c>
      <c r="O402" t="str" cm="1">
        <f t="array" ref="O402">_xlfn.IFS(J402="M", "Medium", J402="L", "Light", J402="D", "Dark", TRUE, "")</f>
        <v>Light</v>
      </c>
      <c r="P402" t="str">
        <f>_xlfn.XLOOKUP(Table1[[#This Row],[Customer ID]], customers!$A$1:$A$1001, customers!$I$1:$I$1001,, 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INDEX(Product!$A$1:$G$49,MATCH(orders!$D403,Product!$A$1:$A$49,0),MATCH(orders!I$1,Product!$A$1:$G$1,0))</f>
        <v>Lib</v>
      </c>
      <c r="J403" t="str">
        <f>INDEX(Product!$A$1:$G$49,MATCH(orders!$D403,Product!$A$1:$A$49,0),MATCH(orders!J$1,Product!$A$1:$G$1,0))</f>
        <v>M</v>
      </c>
      <c r="K403" s="4">
        <f>INDEX(Product!$A$1:$G$49,MATCH(orders!$D403,Product!$A$1:$A$49,0),MATCH(orders!K$1,Product!$A$1:$G$1,0))</f>
        <v>0.2</v>
      </c>
      <c r="L403" s="5">
        <f>INDEX(Product!$A$1:$G$49,MATCH(orders!$D403,Product!$A$1:$A$49,0),MATCH(orders!L$1,Product!$A$1:$G$1,0))</f>
        <v>4.3650000000000002</v>
      </c>
      <c r="M403" s="5">
        <f t="shared" si="6"/>
        <v>8.73</v>
      </c>
      <c r="N403" t="str" cm="1">
        <f t="array" ref="N403">_xlfn.IFS(I403="Rob", "Robusta", I403="Exc", "Excelsa", I403="Ara", "Arabica", I403="Lib", "Liberica", TRUE, "")</f>
        <v>Liberica</v>
      </c>
      <c r="O403" t="str" cm="1">
        <f t="array" ref="O403">_xlfn.IFS(J403="M", "Medium", J403="L", "Light", J403="D", "Dark", TRUE, "")</f>
        <v>Medium</v>
      </c>
      <c r="P403" t="str">
        <f>_xlfn.XLOOKUP(Table1[[#This Row],[Customer ID]], customers!$A$1:$A$1001, customers!$I$1:$I$1001,, 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INDEX(Product!$A$1:$G$49,MATCH(orders!$D404,Product!$A$1:$A$49,0),MATCH(orders!I$1,Product!$A$1:$G$1,0))</f>
        <v>Rob</v>
      </c>
      <c r="J404" t="str">
        <f>INDEX(Product!$A$1:$G$49,MATCH(orders!$D404,Product!$A$1:$A$49,0),MATCH(orders!J$1,Product!$A$1:$G$1,0))</f>
        <v>D</v>
      </c>
      <c r="K404" s="4">
        <f>INDEX(Product!$A$1:$G$49,MATCH(orders!$D404,Product!$A$1:$A$49,0),MATCH(orders!K$1,Product!$A$1:$G$1,0))</f>
        <v>1</v>
      </c>
      <c r="L404" s="5">
        <f>INDEX(Product!$A$1:$G$49,MATCH(orders!$D404,Product!$A$1:$A$49,0),MATCH(orders!L$1,Product!$A$1:$G$1,0))</f>
        <v>8.9499999999999993</v>
      </c>
      <c r="M404" s="5">
        <f t="shared" si="6"/>
        <v>26.849999999999998</v>
      </c>
      <c r="N404" t="str" cm="1">
        <f t="array" ref="N404">_xlfn.IFS(I404="Rob", "Robusta", I404="Exc", "Excelsa", I404="Ara", "Arabica", I404="Lib", "Liberica", TRUE, "")</f>
        <v>Robusta</v>
      </c>
      <c r="O404" t="str" cm="1">
        <f t="array" ref="O404">_xlfn.IFS(J404="M", "Medium", J404="L", "Light", J404="D", "Dark", TRUE, "")</f>
        <v>Dark</v>
      </c>
      <c r="P404" t="str">
        <f>_xlfn.XLOOKUP(Table1[[#This Row],[Customer ID]], customers!$A$1:$A$1001, customers!$I$1:$I$1001,, 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INDEX(Product!$A$1:$G$49,MATCH(orders!$D405,Product!$A$1:$A$49,0),MATCH(orders!I$1,Product!$A$1:$G$1,0))</f>
        <v>Lib</v>
      </c>
      <c r="J405" t="str">
        <f>INDEX(Product!$A$1:$G$49,MATCH(orders!$D405,Product!$A$1:$A$49,0),MATCH(orders!J$1,Product!$A$1:$G$1,0))</f>
        <v>L</v>
      </c>
      <c r="K405" s="4">
        <f>INDEX(Product!$A$1:$G$49,MATCH(orders!$D405,Product!$A$1:$A$49,0),MATCH(orders!K$1,Product!$A$1:$G$1,0))</f>
        <v>0.2</v>
      </c>
      <c r="L405" s="5">
        <f>INDEX(Product!$A$1:$G$49,MATCH(orders!$D405,Product!$A$1:$A$49,0),MATCH(orders!L$1,Product!$A$1:$G$1,0))</f>
        <v>4.7549999999999999</v>
      </c>
      <c r="M405" s="5">
        <f t="shared" si="6"/>
        <v>9.51</v>
      </c>
      <c r="N405" t="str" cm="1">
        <f t="array" ref="N405">_xlfn.IFS(I405="Rob", "Robusta", I405="Exc", "Excelsa", I405="Ara", "Arabica", I405="Lib", "Liberica", TRUE, "")</f>
        <v>Liberica</v>
      </c>
      <c r="O405" t="str" cm="1">
        <f t="array" ref="O405">_xlfn.IFS(J405="M", "Medium", J405="L", "Light", J405="D", "Dark", TRUE, "")</f>
        <v>Light</v>
      </c>
      <c r="P405" t="str">
        <f>_xlfn.XLOOKUP(Table1[[#This Row],[Customer ID]], customers!$A$1:$A$1001, customers!$I$1:$I$1001,, 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INDEX(Product!$A$1:$G$49,MATCH(orders!$D406,Product!$A$1:$A$49,0),MATCH(orders!I$1,Product!$A$1:$G$1,0))</f>
        <v>Ara</v>
      </c>
      <c r="J406" t="str">
        <f>INDEX(Product!$A$1:$G$49,MATCH(orders!$D406,Product!$A$1:$A$49,0),MATCH(orders!J$1,Product!$A$1:$G$1,0))</f>
        <v>D</v>
      </c>
      <c r="K406" s="4">
        <f>INDEX(Product!$A$1:$G$49,MATCH(orders!$D406,Product!$A$1:$A$49,0),MATCH(orders!K$1,Product!$A$1:$G$1,0))</f>
        <v>1</v>
      </c>
      <c r="L406" s="5">
        <f>INDEX(Product!$A$1:$G$49,MATCH(orders!$D406,Product!$A$1:$A$49,0),MATCH(orders!L$1,Product!$A$1:$G$1,0))</f>
        <v>9.9499999999999993</v>
      </c>
      <c r="M406" s="5">
        <f t="shared" si="6"/>
        <v>39.799999999999997</v>
      </c>
      <c r="N406" t="str" cm="1">
        <f t="array" ref="N406">_xlfn.IFS(I406="Rob", "Robusta", I406="Exc", "Excelsa", I406="Ara", "Arabica", I406="Lib", "Liberica", TRUE, "")</f>
        <v>Arabica</v>
      </c>
      <c r="O406" t="str" cm="1">
        <f t="array" ref="O406">_xlfn.IFS(J406="M", "Medium", J406="L", "Light", J406="D", "Dark", TRUE, "")</f>
        <v>Dark</v>
      </c>
      <c r="P406" t="str">
        <f>_xlfn.XLOOKUP(Table1[[#This Row],[Customer ID]], customers!$A$1:$A$1001, customers!$I$1:$I$1001,, 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INDEX(Product!$A$1:$G$49,MATCH(orders!$D407,Product!$A$1:$A$49,0),MATCH(orders!I$1,Product!$A$1:$G$1,0))</f>
        <v>Exc</v>
      </c>
      <c r="J407" t="str">
        <f>INDEX(Product!$A$1:$G$49,MATCH(orders!$D407,Product!$A$1:$A$49,0),MATCH(orders!J$1,Product!$A$1:$G$1,0))</f>
        <v>M</v>
      </c>
      <c r="K407" s="4">
        <f>INDEX(Product!$A$1:$G$49,MATCH(orders!$D407,Product!$A$1:$A$49,0),MATCH(orders!K$1,Product!$A$1:$G$1,0))</f>
        <v>0.5</v>
      </c>
      <c r="L407" s="5">
        <f>INDEX(Product!$A$1:$G$49,MATCH(orders!$D407,Product!$A$1:$A$49,0),MATCH(orders!L$1,Product!$A$1:$G$1,0))</f>
        <v>8.25</v>
      </c>
      <c r="M407" s="5">
        <f t="shared" si="6"/>
        <v>24.75</v>
      </c>
      <c r="N407" t="str" cm="1">
        <f t="array" ref="N407">_xlfn.IFS(I407="Rob", "Robusta", I407="Exc", "Excelsa", I407="Ara", "Arabica", I407="Lib", "Liberica", TRUE, "")</f>
        <v>Excelsa</v>
      </c>
      <c r="O407" t="str" cm="1">
        <f t="array" ref="O407">_xlfn.IFS(J407="M", "Medium", J407="L", "Light", J407="D", "Dark", TRUE, "")</f>
        <v>Medium</v>
      </c>
      <c r="P407" t="str">
        <f>_xlfn.XLOOKUP(Table1[[#This Row],[Customer ID]], customers!$A$1:$A$1001, customers!$I$1:$I$1001,, 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INDEX(Product!$A$1:$G$49,MATCH(orders!$D408,Product!$A$1:$A$49,0),MATCH(orders!I$1,Product!$A$1:$G$1,0))</f>
        <v>Exc</v>
      </c>
      <c r="J408" t="str">
        <f>INDEX(Product!$A$1:$G$49,MATCH(orders!$D408,Product!$A$1:$A$49,0),MATCH(orders!J$1,Product!$A$1:$G$1,0))</f>
        <v>M</v>
      </c>
      <c r="K408" s="4">
        <f>INDEX(Product!$A$1:$G$49,MATCH(orders!$D408,Product!$A$1:$A$49,0),MATCH(orders!K$1,Product!$A$1:$G$1,0))</f>
        <v>1</v>
      </c>
      <c r="L408" s="5">
        <f>INDEX(Product!$A$1:$G$49,MATCH(orders!$D408,Product!$A$1:$A$49,0),MATCH(orders!L$1,Product!$A$1:$G$1,0))</f>
        <v>13.75</v>
      </c>
      <c r="M408" s="5">
        <f t="shared" si="6"/>
        <v>68.75</v>
      </c>
      <c r="N408" t="str" cm="1">
        <f t="array" ref="N408">_xlfn.IFS(I408="Rob", "Robusta", I408="Exc", "Excelsa", I408="Ara", "Arabica", I408="Lib", "Liberica", TRUE, "")</f>
        <v>Excelsa</v>
      </c>
      <c r="O408" t="str" cm="1">
        <f t="array" ref="O408">_xlfn.IFS(J408="M", "Medium", J408="L", "Light", J408="D", "Dark", TRUE, "")</f>
        <v>Medium</v>
      </c>
      <c r="P408" t="str">
        <f>_xlfn.XLOOKUP(Table1[[#This Row],[Customer ID]], customers!$A$1:$A$1001, customers!$I$1:$I$1001,, 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INDEX(Product!$A$1:$G$49,MATCH(orders!$D409,Product!$A$1:$A$49,0),MATCH(orders!I$1,Product!$A$1:$G$1,0))</f>
        <v>Exc</v>
      </c>
      <c r="J409" t="str">
        <f>INDEX(Product!$A$1:$G$49,MATCH(orders!$D409,Product!$A$1:$A$49,0),MATCH(orders!J$1,Product!$A$1:$G$1,0))</f>
        <v>M</v>
      </c>
      <c r="K409" s="4">
        <f>INDEX(Product!$A$1:$G$49,MATCH(orders!$D409,Product!$A$1:$A$49,0),MATCH(orders!K$1,Product!$A$1:$G$1,0))</f>
        <v>0.5</v>
      </c>
      <c r="L409" s="5">
        <f>INDEX(Product!$A$1:$G$49,MATCH(orders!$D409,Product!$A$1:$A$49,0),MATCH(orders!L$1,Product!$A$1:$G$1,0))</f>
        <v>8.25</v>
      </c>
      <c r="M409" s="5">
        <f t="shared" si="6"/>
        <v>49.5</v>
      </c>
      <c r="N409" t="str" cm="1">
        <f t="array" ref="N409">_xlfn.IFS(I409="Rob", "Robusta", I409="Exc", "Excelsa", I409="Ara", "Arabica", I409="Lib", "Liberica", TRUE, "")</f>
        <v>Excelsa</v>
      </c>
      <c r="O409" t="str" cm="1">
        <f t="array" ref="O409">_xlfn.IFS(J409="M", "Medium", J409="L", "Light", J409="D", "Dark", TRUE, "")</f>
        <v>Medium</v>
      </c>
      <c r="P409" t="str">
        <f>_xlfn.XLOOKUP(Table1[[#This Row],[Customer ID]], customers!$A$1:$A$1001, customers!$I$1:$I$1001,, 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INDEX(Product!$A$1:$G$49,MATCH(orders!$D410,Product!$A$1:$A$49,0),MATCH(orders!I$1,Product!$A$1:$G$1,0))</f>
        <v>Ara</v>
      </c>
      <c r="J410" t="str">
        <f>INDEX(Product!$A$1:$G$49,MATCH(orders!$D410,Product!$A$1:$A$49,0),MATCH(orders!J$1,Product!$A$1:$G$1,0))</f>
        <v>M</v>
      </c>
      <c r="K410" s="4">
        <f>INDEX(Product!$A$1:$G$49,MATCH(orders!$D410,Product!$A$1:$A$49,0),MATCH(orders!K$1,Product!$A$1:$G$1,0))</f>
        <v>2.5</v>
      </c>
      <c r="L410" s="5">
        <f>INDEX(Product!$A$1:$G$49,MATCH(orders!$D410,Product!$A$1:$A$49,0),MATCH(orders!L$1,Product!$A$1:$G$1,0))</f>
        <v>25.874999999999996</v>
      </c>
      <c r="M410" s="5">
        <f t="shared" si="6"/>
        <v>51.749999999999993</v>
      </c>
      <c r="N410" t="str" cm="1">
        <f t="array" ref="N410">_xlfn.IFS(I410="Rob", "Robusta", I410="Exc", "Excelsa", I410="Ara", "Arabica", I410="Lib", "Liberica", TRUE, "")</f>
        <v>Arabica</v>
      </c>
      <c r="O410" t="str" cm="1">
        <f t="array" ref="O410">_xlfn.IFS(J410="M", "Medium", J410="L", "Light", J410="D", "Dark", TRUE, "")</f>
        <v>Medium</v>
      </c>
      <c r="P410" t="str">
        <f>_xlfn.XLOOKUP(Table1[[#This Row],[Customer ID]], customers!$A$1:$A$1001, customers!$I$1:$I$1001,, 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INDEX(Product!$A$1:$G$49,MATCH(orders!$D411,Product!$A$1:$A$49,0),MATCH(orders!I$1,Product!$A$1:$G$1,0))</f>
        <v>Lib</v>
      </c>
      <c r="J411" t="str">
        <f>INDEX(Product!$A$1:$G$49,MATCH(orders!$D411,Product!$A$1:$A$49,0),MATCH(orders!J$1,Product!$A$1:$G$1,0))</f>
        <v>L</v>
      </c>
      <c r="K411" s="4">
        <f>INDEX(Product!$A$1:$G$49,MATCH(orders!$D411,Product!$A$1:$A$49,0),MATCH(orders!K$1,Product!$A$1:$G$1,0))</f>
        <v>1</v>
      </c>
      <c r="L411" s="5">
        <f>INDEX(Product!$A$1:$G$49,MATCH(orders!$D411,Product!$A$1:$A$49,0),MATCH(orders!L$1,Product!$A$1:$G$1,0))</f>
        <v>15.85</v>
      </c>
      <c r="M411" s="5">
        <f t="shared" si="6"/>
        <v>47.55</v>
      </c>
      <c r="N411" t="str" cm="1">
        <f t="array" ref="N411">_xlfn.IFS(I411="Rob", "Robusta", I411="Exc", "Excelsa", I411="Ara", "Arabica", I411="Lib", "Liberica", TRUE, "")</f>
        <v>Liberica</v>
      </c>
      <c r="O411" t="str" cm="1">
        <f t="array" ref="O411">_xlfn.IFS(J411="M", "Medium", J411="L", "Light", J411="D", "Dark", TRUE, "")</f>
        <v>Light</v>
      </c>
      <c r="P411" t="str">
        <f>_xlfn.XLOOKUP(Table1[[#This Row],[Customer ID]], customers!$A$1:$A$1001, customers!$I$1:$I$1001,, 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INDEX(Product!$A$1:$G$49,MATCH(orders!$D412,Product!$A$1:$A$49,0),MATCH(orders!I$1,Product!$A$1:$G$1,0))</f>
        <v>Ara</v>
      </c>
      <c r="J412" t="str">
        <f>INDEX(Product!$A$1:$G$49,MATCH(orders!$D412,Product!$A$1:$A$49,0),MATCH(orders!J$1,Product!$A$1:$G$1,0))</f>
        <v>L</v>
      </c>
      <c r="K412" s="4">
        <f>INDEX(Product!$A$1:$G$49,MATCH(orders!$D412,Product!$A$1:$A$49,0),MATCH(orders!K$1,Product!$A$1:$G$1,0))</f>
        <v>0.2</v>
      </c>
      <c r="L412" s="5">
        <f>INDEX(Product!$A$1:$G$49,MATCH(orders!$D412,Product!$A$1:$A$49,0),MATCH(orders!L$1,Product!$A$1:$G$1,0))</f>
        <v>3.8849999999999998</v>
      </c>
      <c r="M412" s="5">
        <f t="shared" si="6"/>
        <v>15.54</v>
      </c>
      <c r="N412" t="str" cm="1">
        <f t="array" ref="N412">_xlfn.IFS(I412="Rob", "Robusta", I412="Exc", "Excelsa", I412="Ara", "Arabica", I412="Lib", "Liberica", TRUE, "")</f>
        <v>Arabica</v>
      </c>
      <c r="O412" t="str" cm="1">
        <f t="array" ref="O412">_xlfn.IFS(J412="M", "Medium", J412="L", "Light", J412="D", "Dark", TRUE, "")</f>
        <v>Light</v>
      </c>
      <c r="P412" t="str">
        <f>_xlfn.XLOOKUP(Table1[[#This Row],[Customer ID]], customers!$A$1:$A$1001, customers!$I$1:$I$1001,, 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INDEX(Product!$A$1:$G$49,MATCH(orders!$D413,Product!$A$1:$A$49,0),MATCH(orders!I$1,Product!$A$1:$G$1,0))</f>
        <v>Lib</v>
      </c>
      <c r="J413" t="str">
        <f>INDEX(Product!$A$1:$G$49,MATCH(orders!$D413,Product!$A$1:$A$49,0),MATCH(orders!J$1,Product!$A$1:$G$1,0))</f>
        <v>M</v>
      </c>
      <c r="K413" s="4">
        <f>INDEX(Product!$A$1:$G$49,MATCH(orders!$D413,Product!$A$1:$A$49,0),MATCH(orders!K$1,Product!$A$1:$G$1,0))</f>
        <v>1</v>
      </c>
      <c r="L413" s="5">
        <f>INDEX(Product!$A$1:$G$49,MATCH(orders!$D413,Product!$A$1:$A$49,0),MATCH(orders!L$1,Product!$A$1:$G$1,0))</f>
        <v>14.55</v>
      </c>
      <c r="M413" s="5">
        <f t="shared" si="6"/>
        <v>87.300000000000011</v>
      </c>
      <c r="N413" t="str" cm="1">
        <f t="array" ref="N413">_xlfn.IFS(I413="Rob", "Robusta", I413="Exc", "Excelsa", I413="Ara", "Arabica", I413="Lib", "Liberica", TRUE, "")</f>
        <v>Liberica</v>
      </c>
      <c r="O413" t="str" cm="1">
        <f t="array" ref="O413">_xlfn.IFS(J413="M", "Medium", J413="L", "Light", J413="D", "Dark", TRUE, "")</f>
        <v>Medium</v>
      </c>
      <c r="P413" t="str">
        <f>_xlfn.XLOOKUP(Table1[[#This Row],[Customer ID]], customers!$A$1:$A$1001, customers!$I$1:$I$1001,, 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INDEX(Product!$A$1:$G$49,MATCH(orders!$D414,Product!$A$1:$A$49,0),MATCH(orders!I$1,Product!$A$1:$G$1,0))</f>
        <v>Ara</v>
      </c>
      <c r="J414" t="str">
        <f>INDEX(Product!$A$1:$G$49,MATCH(orders!$D414,Product!$A$1:$A$49,0),MATCH(orders!J$1,Product!$A$1:$G$1,0))</f>
        <v>M</v>
      </c>
      <c r="K414" s="4">
        <f>INDEX(Product!$A$1:$G$49,MATCH(orders!$D414,Product!$A$1:$A$49,0),MATCH(orders!K$1,Product!$A$1:$G$1,0))</f>
        <v>1</v>
      </c>
      <c r="L414" s="5">
        <f>INDEX(Product!$A$1:$G$49,MATCH(orders!$D414,Product!$A$1:$A$49,0),MATCH(orders!L$1,Product!$A$1:$G$1,0))</f>
        <v>11.25</v>
      </c>
      <c r="M414" s="5">
        <f t="shared" si="6"/>
        <v>56.25</v>
      </c>
      <c r="N414" t="str" cm="1">
        <f t="array" ref="N414">_xlfn.IFS(I414="Rob", "Robusta", I414="Exc", "Excelsa", I414="Ara", "Arabica", I414="Lib", "Liberica", TRUE, "")</f>
        <v>Arabica</v>
      </c>
      <c r="O414" t="str" cm="1">
        <f t="array" ref="O414">_xlfn.IFS(J414="M", "Medium", J414="L", "Light", J414="D", "Dark", TRUE, "")</f>
        <v>Medium</v>
      </c>
      <c r="P414" t="str">
        <f>_xlfn.XLOOKUP(Table1[[#This Row],[Customer ID]], customers!$A$1:$A$1001, customers!$I$1:$I$1001,, 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INDEX(Product!$A$1:$G$49,MATCH(orders!$D415,Product!$A$1:$A$49,0),MATCH(orders!I$1,Product!$A$1:$G$1,0))</f>
        <v>Lib</v>
      </c>
      <c r="J415" t="str">
        <f>INDEX(Product!$A$1:$G$49,MATCH(orders!$D415,Product!$A$1:$A$49,0),MATCH(orders!J$1,Product!$A$1:$G$1,0))</f>
        <v>L</v>
      </c>
      <c r="K415" s="4">
        <f>INDEX(Product!$A$1:$G$49,MATCH(orders!$D415,Product!$A$1:$A$49,0),MATCH(orders!K$1,Product!$A$1:$G$1,0))</f>
        <v>2.5</v>
      </c>
      <c r="L415" s="5">
        <f>INDEX(Product!$A$1:$G$49,MATCH(orders!$D415,Product!$A$1:$A$49,0),MATCH(orders!L$1,Product!$A$1:$G$1,0))</f>
        <v>36.454999999999998</v>
      </c>
      <c r="M415" s="5">
        <f t="shared" si="6"/>
        <v>36.454999999999998</v>
      </c>
      <c r="N415" t="str" cm="1">
        <f t="array" ref="N415">_xlfn.IFS(I415="Rob", "Robusta", I415="Exc", "Excelsa", I415="Ara", "Arabica", I415="Lib", "Liberica", TRUE, "")</f>
        <v>Liberica</v>
      </c>
      <c r="O415" t="str" cm="1">
        <f t="array" ref="O415">_xlfn.IFS(J415="M", "Medium", J415="L", "Light", J415="D", "Dark", TRUE, "")</f>
        <v>Light</v>
      </c>
      <c r="P415" t="str">
        <f>_xlfn.XLOOKUP(Table1[[#This Row],[Customer ID]], customers!$A$1:$A$1001, customers!$I$1:$I$1001,, 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INDEX(Product!$A$1:$G$49,MATCH(orders!$D416,Product!$A$1:$A$49,0),MATCH(orders!I$1,Product!$A$1:$G$1,0))</f>
        <v>Rob</v>
      </c>
      <c r="J416" t="str">
        <f>INDEX(Product!$A$1:$G$49,MATCH(orders!$D416,Product!$A$1:$A$49,0),MATCH(orders!J$1,Product!$A$1:$G$1,0))</f>
        <v>L</v>
      </c>
      <c r="K416" s="4">
        <f>INDEX(Product!$A$1:$G$49,MATCH(orders!$D416,Product!$A$1:$A$49,0),MATCH(orders!K$1,Product!$A$1:$G$1,0))</f>
        <v>0.2</v>
      </c>
      <c r="L416" s="5">
        <f>INDEX(Product!$A$1:$G$49,MATCH(orders!$D416,Product!$A$1:$A$49,0),MATCH(orders!L$1,Product!$A$1:$G$1,0))</f>
        <v>3.5849999999999995</v>
      </c>
      <c r="M416" s="5">
        <f t="shared" si="6"/>
        <v>10.754999999999999</v>
      </c>
      <c r="N416" t="str" cm="1">
        <f t="array" ref="N416">_xlfn.IFS(I416="Rob", "Robusta", I416="Exc", "Excelsa", I416="Ara", "Arabica", I416="Lib", "Liberica", TRUE, "")</f>
        <v>Robusta</v>
      </c>
      <c r="O416" t="str" cm="1">
        <f t="array" ref="O416">_xlfn.IFS(J416="M", "Medium", J416="L", "Light", J416="D", "Dark", TRUE, "")</f>
        <v>Light</v>
      </c>
      <c r="P416" t="str">
        <f>_xlfn.XLOOKUP(Table1[[#This Row],[Customer ID]], customers!$A$1:$A$1001, customers!$I$1:$I$1001,, 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INDEX(Product!$A$1:$G$49,MATCH(orders!$D417,Product!$A$1:$A$49,0),MATCH(orders!I$1,Product!$A$1:$G$1,0))</f>
        <v>Rob</v>
      </c>
      <c r="J417" t="str">
        <f>INDEX(Product!$A$1:$G$49,MATCH(orders!$D417,Product!$A$1:$A$49,0),MATCH(orders!J$1,Product!$A$1:$G$1,0))</f>
        <v>M</v>
      </c>
      <c r="K417" s="4">
        <f>INDEX(Product!$A$1:$G$49,MATCH(orders!$D417,Product!$A$1:$A$49,0),MATCH(orders!K$1,Product!$A$1:$G$1,0))</f>
        <v>0.2</v>
      </c>
      <c r="L417" s="5">
        <f>INDEX(Product!$A$1:$G$49,MATCH(orders!$D417,Product!$A$1:$A$49,0),MATCH(orders!L$1,Product!$A$1:$G$1,0))</f>
        <v>2.9849999999999999</v>
      </c>
      <c r="M417" s="5">
        <f t="shared" si="6"/>
        <v>8.9550000000000001</v>
      </c>
      <c r="N417" t="str" cm="1">
        <f t="array" ref="N417">_xlfn.IFS(I417="Rob", "Robusta", I417="Exc", "Excelsa", I417="Ara", "Arabica", I417="Lib", "Liberica", TRUE, "")</f>
        <v>Robusta</v>
      </c>
      <c r="O417" t="str" cm="1">
        <f t="array" ref="O417">_xlfn.IFS(J417="M", "Medium", J417="L", "Light", J417="D", "Dark", TRUE, "")</f>
        <v>Medium</v>
      </c>
      <c r="P417" t="str">
        <f>_xlfn.XLOOKUP(Table1[[#This Row],[Customer ID]], customers!$A$1:$A$1001, customers!$I$1:$I$1001,, 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INDEX(Product!$A$1:$G$49,MATCH(orders!$D418,Product!$A$1:$A$49,0),MATCH(orders!I$1,Product!$A$1:$G$1,0))</f>
        <v>Ara</v>
      </c>
      <c r="J418" t="str">
        <f>INDEX(Product!$A$1:$G$49,MATCH(orders!$D418,Product!$A$1:$A$49,0),MATCH(orders!J$1,Product!$A$1:$G$1,0))</f>
        <v>L</v>
      </c>
      <c r="K418" s="4">
        <f>INDEX(Product!$A$1:$G$49,MATCH(orders!$D418,Product!$A$1:$A$49,0),MATCH(orders!K$1,Product!$A$1:$G$1,0))</f>
        <v>0.5</v>
      </c>
      <c r="L418" s="5">
        <f>INDEX(Product!$A$1:$G$49,MATCH(orders!$D418,Product!$A$1:$A$49,0),MATCH(orders!L$1,Product!$A$1:$G$1,0))</f>
        <v>7.77</v>
      </c>
      <c r="M418" s="5">
        <f t="shared" si="6"/>
        <v>23.31</v>
      </c>
      <c r="N418" t="str" cm="1">
        <f t="array" ref="N418">_xlfn.IFS(I418="Rob", "Robusta", I418="Exc", "Excelsa", I418="Ara", "Arabica", I418="Lib", "Liberica", TRUE, "")</f>
        <v>Arabica</v>
      </c>
      <c r="O418" t="str" cm="1">
        <f t="array" ref="O418">_xlfn.IFS(J418="M", "Medium", J418="L", "Light", J418="D", "Dark", TRUE, "")</f>
        <v>Light</v>
      </c>
      <c r="P418" t="str">
        <f>_xlfn.XLOOKUP(Table1[[#This Row],[Customer ID]], customers!$A$1:$A$1001, customers!$I$1:$I$1001,, 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INDEX(Product!$A$1:$G$49,MATCH(orders!$D419,Product!$A$1:$A$49,0),MATCH(orders!I$1,Product!$A$1:$G$1,0))</f>
        <v>Ara</v>
      </c>
      <c r="J419" t="str">
        <f>INDEX(Product!$A$1:$G$49,MATCH(orders!$D419,Product!$A$1:$A$49,0),MATCH(orders!J$1,Product!$A$1:$G$1,0))</f>
        <v>L</v>
      </c>
      <c r="K419" s="4">
        <f>INDEX(Product!$A$1:$G$49,MATCH(orders!$D419,Product!$A$1:$A$49,0),MATCH(orders!K$1,Product!$A$1:$G$1,0))</f>
        <v>2.5</v>
      </c>
      <c r="L419" s="5">
        <f>INDEX(Product!$A$1:$G$49,MATCH(orders!$D419,Product!$A$1:$A$49,0),MATCH(orders!L$1,Product!$A$1:$G$1,0))</f>
        <v>29.784999999999997</v>
      </c>
      <c r="M419" s="5">
        <f t="shared" si="6"/>
        <v>29.784999999999997</v>
      </c>
      <c r="N419" t="str" cm="1">
        <f t="array" ref="N419">_xlfn.IFS(I419="Rob", "Robusta", I419="Exc", "Excelsa", I419="Ara", "Arabica", I419="Lib", "Liberica", TRUE, "")</f>
        <v>Arabica</v>
      </c>
      <c r="O419" t="str" cm="1">
        <f t="array" ref="O419">_xlfn.IFS(J419="M", "Medium", J419="L", "Light", J419="D", "Dark", TRUE, "")</f>
        <v>Light</v>
      </c>
      <c r="P419" t="str">
        <f>_xlfn.XLOOKUP(Table1[[#This Row],[Customer ID]], customers!$A$1:$A$1001, customers!$I$1:$I$1001,, 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INDEX(Product!$A$1:$G$49,MATCH(orders!$D420,Product!$A$1:$A$49,0),MATCH(orders!I$1,Product!$A$1:$G$1,0))</f>
        <v>Ara</v>
      </c>
      <c r="J420" t="str">
        <f>INDEX(Product!$A$1:$G$49,MATCH(orders!$D420,Product!$A$1:$A$49,0),MATCH(orders!J$1,Product!$A$1:$G$1,0))</f>
        <v>L</v>
      </c>
      <c r="K420" s="4">
        <f>INDEX(Product!$A$1:$G$49,MATCH(orders!$D420,Product!$A$1:$A$49,0),MATCH(orders!K$1,Product!$A$1:$G$1,0))</f>
        <v>2.5</v>
      </c>
      <c r="L420" s="5">
        <f>INDEX(Product!$A$1:$G$49,MATCH(orders!$D420,Product!$A$1:$A$49,0),MATCH(orders!L$1,Product!$A$1:$G$1,0))</f>
        <v>29.784999999999997</v>
      </c>
      <c r="M420" s="5">
        <f t="shared" si="6"/>
        <v>148.92499999999998</v>
      </c>
      <c r="N420" t="str" cm="1">
        <f t="array" ref="N420">_xlfn.IFS(I420="Rob", "Robusta", I420="Exc", "Excelsa", I420="Ara", "Arabica", I420="Lib", "Liberica", TRUE, "")</f>
        <v>Arabica</v>
      </c>
      <c r="O420" t="str" cm="1">
        <f t="array" ref="O420">_xlfn.IFS(J420="M", "Medium", J420="L", "Light", J420="D", "Dark", TRUE, "")</f>
        <v>Light</v>
      </c>
      <c r="P420" t="str">
        <f>_xlfn.XLOOKUP(Table1[[#This Row],[Customer ID]], customers!$A$1:$A$1001, customers!$I$1:$I$1001,, 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INDEX(Product!$A$1:$G$49,MATCH(orders!$D421,Product!$A$1:$A$49,0),MATCH(orders!I$1,Product!$A$1:$G$1,0))</f>
        <v>Lib</v>
      </c>
      <c r="J421" t="str">
        <f>INDEX(Product!$A$1:$G$49,MATCH(orders!$D421,Product!$A$1:$A$49,0),MATCH(orders!J$1,Product!$A$1:$G$1,0))</f>
        <v>M</v>
      </c>
      <c r="K421" s="4">
        <f>INDEX(Product!$A$1:$G$49,MATCH(orders!$D421,Product!$A$1:$A$49,0),MATCH(orders!K$1,Product!$A$1:$G$1,0))</f>
        <v>0.5</v>
      </c>
      <c r="L421" s="5">
        <f>INDEX(Product!$A$1:$G$49,MATCH(orders!$D421,Product!$A$1:$A$49,0),MATCH(orders!L$1,Product!$A$1:$G$1,0))</f>
        <v>8.73</v>
      </c>
      <c r="M421" s="5">
        <f t="shared" si="6"/>
        <v>8.73</v>
      </c>
      <c r="N421" t="str" cm="1">
        <f t="array" ref="N421">_xlfn.IFS(I421="Rob", "Robusta", I421="Exc", "Excelsa", I421="Ara", "Arabica", I421="Lib", "Liberica", TRUE, "")</f>
        <v>Liberica</v>
      </c>
      <c r="O421" t="str" cm="1">
        <f t="array" ref="O421">_xlfn.IFS(J421="M", "Medium", J421="L", "Light", J421="D", "Dark", TRUE, "")</f>
        <v>Medium</v>
      </c>
      <c r="P421" t="str">
        <f>_xlfn.XLOOKUP(Table1[[#This Row],[Customer ID]], customers!$A$1:$A$1001, customers!$I$1:$I$1001,, 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INDEX(Product!$A$1:$G$49,MATCH(orders!$D422,Product!$A$1:$A$49,0),MATCH(orders!I$1,Product!$A$1:$G$1,0))</f>
        <v>Lib</v>
      </c>
      <c r="J422" t="str">
        <f>INDEX(Product!$A$1:$G$49,MATCH(orders!$D422,Product!$A$1:$A$49,0),MATCH(orders!J$1,Product!$A$1:$G$1,0))</f>
        <v>D</v>
      </c>
      <c r="K422" s="4">
        <f>INDEX(Product!$A$1:$G$49,MATCH(orders!$D422,Product!$A$1:$A$49,0),MATCH(orders!K$1,Product!$A$1:$G$1,0))</f>
        <v>0.5</v>
      </c>
      <c r="L422" s="5">
        <f>INDEX(Product!$A$1:$G$49,MATCH(orders!$D422,Product!$A$1:$A$49,0),MATCH(orders!L$1,Product!$A$1:$G$1,0))</f>
        <v>7.77</v>
      </c>
      <c r="M422" s="5">
        <f t="shared" si="6"/>
        <v>31.08</v>
      </c>
      <c r="N422" t="str" cm="1">
        <f t="array" ref="N422">_xlfn.IFS(I422="Rob", "Robusta", I422="Exc", "Excelsa", I422="Ara", "Arabica", I422="Lib", "Liberica", TRUE, "")</f>
        <v>Liberica</v>
      </c>
      <c r="O422" t="str" cm="1">
        <f t="array" ref="O422">_xlfn.IFS(J422="M", "Medium", J422="L", "Light", J422="D", "Dark", TRUE, "")</f>
        <v>Dark</v>
      </c>
      <c r="P422" t="str">
        <f>_xlfn.XLOOKUP(Table1[[#This Row],[Customer ID]], customers!$A$1:$A$1001, customers!$I$1:$I$1001,, 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INDEX(Product!$A$1:$G$49,MATCH(orders!$D423,Product!$A$1:$A$49,0),MATCH(orders!I$1,Product!$A$1:$G$1,0))</f>
        <v>Ara</v>
      </c>
      <c r="J423" t="str">
        <f>INDEX(Product!$A$1:$G$49,MATCH(orders!$D423,Product!$A$1:$A$49,0),MATCH(orders!J$1,Product!$A$1:$G$1,0))</f>
        <v>D</v>
      </c>
      <c r="K423" s="4">
        <f>INDEX(Product!$A$1:$G$49,MATCH(orders!$D423,Product!$A$1:$A$49,0),MATCH(orders!K$1,Product!$A$1:$G$1,0))</f>
        <v>2.5</v>
      </c>
      <c r="L423" s="5">
        <f>INDEX(Product!$A$1:$G$49,MATCH(orders!$D423,Product!$A$1:$A$49,0),MATCH(orders!L$1,Product!$A$1:$G$1,0))</f>
        <v>22.884999999999998</v>
      </c>
      <c r="M423" s="5">
        <f t="shared" si="6"/>
        <v>137.31</v>
      </c>
      <c r="N423" t="str" cm="1">
        <f t="array" ref="N423">_xlfn.IFS(I423="Rob", "Robusta", I423="Exc", "Excelsa", I423="Ara", "Arabica", I423="Lib", "Liberica", TRUE, "")</f>
        <v>Arabica</v>
      </c>
      <c r="O423" t="str" cm="1">
        <f t="array" ref="O423">_xlfn.IFS(J423="M", "Medium", J423="L", "Light", J423="D", "Dark", TRUE, "")</f>
        <v>Dark</v>
      </c>
      <c r="P423" t="str">
        <f>_xlfn.XLOOKUP(Table1[[#This Row],[Customer ID]], customers!$A$1:$A$1001, customers!$I$1:$I$1001,, 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INDEX(Product!$A$1:$G$49,MATCH(orders!$D424,Product!$A$1:$A$49,0),MATCH(orders!I$1,Product!$A$1:$G$1,0))</f>
        <v>Ara</v>
      </c>
      <c r="J424" t="str">
        <f>INDEX(Product!$A$1:$G$49,MATCH(orders!$D424,Product!$A$1:$A$49,0),MATCH(orders!J$1,Product!$A$1:$G$1,0))</f>
        <v>D</v>
      </c>
      <c r="K424" s="4">
        <f>INDEX(Product!$A$1:$G$49,MATCH(orders!$D424,Product!$A$1:$A$49,0),MATCH(orders!K$1,Product!$A$1:$G$1,0))</f>
        <v>0.5</v>
      </c>
      <c r="L424" s="5">
        <f>INDEX(Product!$A$1:$G$49,MATCH(orders!$D424,Product!$A$1:$A$49,0),MATCH(orders!L$1,Product!$A$1:$G$1,0))</f>
        <v>5.97</v>
      </c>
      <c r="M424" s="5">
        <f t="shared" si="6"/>
        <v>29.849999999999998</v>
      </c>
      <c r="N424" t="str" cm="1">
        <f t="array" ref="N424">_xlfn.IFS(I424="Rob", "Robusta", I424="Exc", "Excelsa", I424="Ara", "Arabica", I424="Lib", "Liberica", TRUE, "")</f>
        <v>Arabica</v>
      </c>
      <c r="O424" t="str" cm="1">
        <f t="array" ref="O424">_xlfn.IFS(J424="M", "Medium", J424="L", "Light", J424="D", "Dark", TRUE, "")</f>
        <v>Dark</v>
      </c>
      <c r="P424" t="str">
        <f>_xlfn.XLOOKUP(Table1[[#This Row],[Customer ID]], customers!$A$1:$A$1001, customers!$I$1:$I$1001,, 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INDEX(Product!$A$1:$G$49,MATCH(orders!$D425,Product!$A$1:$A$49,0),MATCH(orders!I$1,Product!$A$1:$G$1,0))</f>
        <v>Rob</v>
      </c>
      <c r="J425" t="str">
        <f>INDEX(Product!$A$1:$G$49,MATCH(orders!$D425,Product!$A$1:$A$49,0),MATCH(orders!J$1,Product!$A$1:$G$1,0))</f>
        <v>M</v>
      </c>
      <c r="K425" s="4">
        <f>INDEX(Product!$A$1:$G$49,MATCH(orders!$D425,Product!$A$1:$A$49,0),MATCH(orders!K$1,Product!$A$1:$G$1,0))</f>
        <v>0.5</v>
      </c>
      <c r="L425" s="5">
        <f>INDEX(Product!$A$1:$G$49,MATCH(orders!$D425,Product!$A$1:$A$49,0),MATCH(orders!L$1,Product!$A$1:$G$1,0))</f>
        <v>5.97</v>
      </c>
      <c r="M425" s="5">
        <f t="shared" si="6"/>
        <v>17.91</v>
      </c>
      <c r="N425" t="str" cm="1">
        <f t="array" ref="N425">_xlfn.IFS(I425="Rob", "Robusta", I425="Exc", "Excelsa", I425="Ara", "Arabica", I425="Lib", "Liberica", TRUE, "")</f>
        <v>Robusta</v>
      </c>
      <c r="O425" t="str" cm="1">
        <f t="array" ref="O425">_xlfn.IFS(J425="M", "Medium", J425="L", "Light", J425="D", "Dark", TRUE, "")</f>
        <v>Medium</v>
      </c>
      <c r="P425" t="str">
        <f>_xlfn.XLOOKUP(Table1[[#This Row],[Customer ID]], customers!$A$1:$A$1001, customers!$I$1:$I$1001,, 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INDEX(Product!$A$1:$G$49,MATCH(orders!$D426,Product!$A$1:$A$49,0),MATCH(orders!I$1,Product!$A$1:$G$1,0))</f>
        <v>Exc</v>
      </c>
      <c r="J426" t="str">
        <f>INDEX(Product!$A$1:$G$49,MATCH(orders!$D426,Product!$A$1:$A$49,0),MATCH(orders!J$1,Product!$A$1:$G$1,0))</f>
        <v>L</v>
      </c>
      <c r="K426" s="4">
        <f>INDEX(Product!$A$1:$G$49,MATCH(orders!$D426,Product!$A$1:$A$49,0),MATCH(orders!K$1,Product!$A$1:$G$1,0))</f>
        <v>0.5</v>
      </c>
      <c r="L426" s="5">
        <f>INDEX(Product!$A$1:$G$49,MATCH(orders!$D426,Product!$A$1:$A$49,0),MATCH(orders!L$1,Product!$A$1:$G$1,0))</f>
        <v>8.91</v>
      </c>
      <c r="M426" s="5">
        <f t="shared" si="6"/>
        <v>26.73</v>
      </c>
      <c r="N426" t="str" cm="1">
        <f t="array" ref="N426">_xlfn.IFS(I426="Rob", "Robusta", I426="Exc", "Excelsa", I426="Ara", "Arabica", I426="Lib", "Liberica", TRUE, "")</f>
        <v>Excelsa</v>
      </c>
      <c r="O426" t="str" cm="1">
        <f t="array" ref="O426">_xlfn.IFS(J426="M", "Medium", J426="L", "Light", J426="D", "Dark", TRUE, "")</f>
        <v>Light</v>
      </c>
      <c r="P426" t="str">
        <f>_xlfn.XLOOKUP(Table1[[#This Row],[Customer ID]], customers!$A$1:$A$1001, customers!$I$1:$I$1001,, 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INDEX(Product!$A$1:$G$49,MATCH(orders!$D427,Product!$A$1:$A$49,0),MATCH(orders!I$1,Product!$A$1:$G$1,0))</f>
        <v>Rob</v>
      </c>
      <c r="J427" t="str">
        <f>INDEX(Product!$A$1:$G$49,MATCH(orders!$D427,Product!$A$1:$A$49,0),MATCH(orders!J$1,Product!$A$1:$G$1,0))</f>
        <v>D</v>
      </c>
      <c r="K427" s="4">
        <f>INDEX(Product!$A$1:$G$49,MATCH(orders!$D427,Product!$A$1:$A$49,0),MATCH(orders!K$1,Product!$A$1:$G$1,0))</f>
        <v>1</v>
      </c>
      <c r="L427" s="5">
        <f>INDEX(Product!$A$1:$G$49,MATCH(orders!$D427,Product!$A$1:$A$49,0),MATCH(orders!L$1,Product!$A$1:$G$1,0))</f>
        <v>8.9499999999999993</v>
      </c>
      <c r="M427" s="5">
        <f t="shared" si="6"/>
        <v>17.899999999999999</v>
      </c>
      <c r="N427" t="str" cm="1">
        <f t="array" ref="N427">_xlfn.IFS(I427="Rob", "Robusta", I427="Exc", "Excelsa", I427="Ara", "Arabica", I427="Lib", "Liberica", TRUE, "")</f>
        <v>Robusta</v>
      </c>
      <c r="O427" t="str" cm="1">
        <f t="array" ref="O427">_xlfn.IFS(J427="M", "Medium", J427="L", "Light", J427="D", "Dark", TRUE, "")</f>
        <v>Dark</v>
      </c>
      <c r="P427" t="str">
        <f>_xlfn.XLOOKUP(Table1[[#This Row],[Customer ID]], customers!$A$1:$A$1001, customers!$I$1:$I$1001,, 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INDEX(Product!$A$1:$G$49,MATCH(orders!$D428,Product!$A$1:$A$49,0),MATCH(orders!I$1,Product!$A$1:$G$1,0))</f>
        <v>Rob</v>
      </c>
      <c r="J428" t="str">
        <f>INDEX(Product!$A$1:$G$49,MATCH(orders!$D428,Product!$A$1:$A$49,0),MATCH(orders!J$1,Product!$A$1:$G$1,0))</f>
        <v>L</v>
      </c>
      <c r="K428" s="4">
        <f>INDEX(Product!$A$1:$G$49,MATCH(orders!$D428,Product!$A$1:$A$49,0),MATCH(orders!K$1,Product!$A$1:$G$1,0))</f>
        <v>0.2</v>
      </c>
      <c r="L428" s="5">
        <f>INDEX(Product!$A$1:$G$49,MATCH(orders!$D428,Product!$A$1:$A$49,0),MATCH(orders!L$1,Product!$A$1:$G$1,0))</f>
        <v>3.5849999999999995</v>
      </c>
      <c r="M428" s="5">
        <f t="shared" si="6"/>
        <v>14.339999999999998</v>
      </c>
      <c r="N428" t="str" cm="1">
        <f t="array" ref="N428">_xlfn.IFS(I428="Rob", "Robusta", I428="Exc", "Excelsa", I428="Ara", "Arabica", I428="Lib", "Liberica", TRUE, "")</f>
        <v>Robusta</v>
      </c>
      <c r="O428" t="str" cm="1">
        <f t="array" ref="O428">_xlfn.IFS(J428="M", "Medium", J428="L", "Light", J428="D", "Dark", TRUE, "")</f>
        <v>Light</v>
      </c>
      <c r="P428" t="str">
        <f>_xlfn.XLOOKUP(Table1[[#This Row],[Customer ID]], customers!$A$1:$A$1001, customers!$I$1:$I$1001,, 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INDEX(Product!$A$1:$G$49,MATCH(orders!$D429,Product!$A$1:$A$49,0),MATCH(orders!I$1,Product!$A$1:$G$1,0))</f>
        <v>Ara</v>
      </c>
      <c r="J429" t="str">
        <f>INDEX(Product!$A$1:$G$49,MATCH(orders!$D429,Product!$A$1:$A$49,0),MATCH(orders!J$1,Product!$A$1:$G$1,0))</f>
        <v>M</v>
      </c>
      <c r="K429" s="4">
        <f>INDEX(Product!$A$1:$G$49,MATCH(orders!$D429,Product!$A$1:$A$49,0),MATCH(orders!K$1,Product!$A$1:$G$1,0))</f>
        <v>2.5</v>
      </c>
      <c r="L429" s="5">
        <f>INDEX(Product!$A$1:$G$49,MATCH(orders!$D429,Product!$A$1:$A$49,0),MATCH(orders!L$1,Product!$A$1:$G$1,0))</f>
        <v>25.874999999999996</v>
      </c>
      <c r="M429" s="5">
        <f t="shared" si="6"/>
        <v>77.624999999999986</v>
      </c>
      <c r="N429" t="str" cm="1">
        <f t="array" ref="N429">_xlfn.IFS(I429="Rob", "Robusta", I429="Exc", "Excelsa", I429="Ara", "Arabica", I429="Lib", "Liberica", TRUE, "")</f>
        <v>Arabica</v>
      </c>
      <c r="O429" t="str" cm="1">
        <f t="array" ref="O429">_xlfn.IFS(J429="M", "Medium", J429="L", "Light", J429="D", "Dark", TRUE, "")</f>
        <v>Medium</v>
      </c>
      <c r="P429" t="str">
        <f>_xlfn.XLOOKUP(Table1[[#This Row],[Customer ID]], customers!$A$1:$A$1001, customers!$I$1:$I$1001,, 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INDEX(Product!$A$1:$G$49,MATCH(orders!$D430,Product!$A$1:$A$49,0),MATCH(orders!I$1,Product!$A$1:$G$1,0))</f>
        <v>Rob</v>
      </c>
      <c r="J430" t="str">
        <f>INDEX(Product!$A$1:$G$49,MATCH(orders!$D430,Product!$A$1:$A$49,0),MATCH(orders!J$1,Product!$A$1:$G$1,0))</f>
        <v>L</v>
      </c>
      <c r="K430" s="4">
        <f>INDEX(Product!$A$1:$G$49,MATCH(orders!$D430,Product!$A$1:$A$49,0),MATCH(orders!K$1,Product!$A$1:$G$1,0))</f>
        <v>1</v>
      </c>
      <c r="L430" s="5">
        <f>INDEX(Product!$A$1:$G$49,MATCH(orders!$D430,Product!$A$1:$A$49,0),MATCH(orders!L$1,Product!$A$1:$G$1,0))</f>
        <v>11.95</v>
      </c>
      <c r="M430" s="5">
        <f t="shared" si="6"/>
        <v>59.75</v>
      </c>
      <c r="N430" t="str" cm="1">
        <f t="array" ref="N430">_xlfn.IFS(I430="Rob", "Robusta", I430="Exc", "Excelsa", I430="Ara", "Arabica", I430="Lib", "Liberica", TRUE, "")</f>
        <v>Robusta</v>
      </c>
      <c r="O430" t="str" cm="1">
        <f t="array" ref="O430">_xlfn.IFS(J430="M", "Medium", J430="L", "Light", J430="D", "Dark", TRUE, "")</f>
        <v>Light</v>
      </c>
      <c r="P430" t="str">
        <f>_xlfn.XLOOKUP(Table1[[#This Row],[Customer ID]], customers!$A$1:$A$1001, customers!$I$1:$I$1001,, 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INDEX(Product!$A$1:$G$49,MATCH(orders!$D431,Product!$A$1:$A$49,0),MATCH(orders!I$1,Product!$A$1:$G$1,0))</f>
        <v>Ara</v>
      </c>
      <c r="J431" t="str">
        <f>INDEX(Product!$A$1:$G$49,MATCH(orders!$D431,Product!$A$1:$A$49,0),MATCH(orders!J$1,Product!$A$1:$G$1,0))</f>
        <v>L</v>
      </c>
      <c r="K431" s="4">
        <f>INDEX(Product!$A$1:$G$49,MATCH(orders!$D431,Product!$A$1:$A$49,0),MATCH(orders!K$1,Product!$A$1:$G$1,0))</f>
        <v>1</v>
      </c>
      <c r="L431" s="5">
        <f>INDEX(Product!$A$1:$G$49,MATCH(orders!$D431,Product!$A$1:$A$49,0),MATCH(orders!L$1,Product!$A$1:$G$1,0))</f>
        <v>12.95</v>
      </c>
      <c r="M431" s="5">
        <f t="shared" si="6"/>
        <v>77.699999999999989</v>
      </c>
      <c r="N431" t="str" cm="1">
        <f t="array" ref="N431">_xlfn.IFS(I431="Rob", "Robusta", I431="Exc", "Excelsa", I431="Ara", "Arabica", I431="Lib", "Liberica", TRUE, "")</f>
        <v>Arabica</v>
      </c>
      <c r="O431" t="str" cm="1">
        <f t="array" ref="O431">_xlfn.IFS(J431="M", "Medium", J431="L", "Light", J431="D", "Dark", TRUE, "")</f>
        <v>Light</v>
      </c>
      <c r="P431" t="str">
        <f>_xlfn.XLOOKUP(Table1[[#This Row],[Customer ID]], customers!$A$1:$A$1001, customers!$I$1:$I$1001,, 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INDEX(Product!$A$1:$G$49,MATCH(orders!$D432,Product!$A$1:$A$49,0),MATCH(orders!I$1,Product!$A$1:$G$1,0))</f>
        <v>Rob</v>
      </c>
      <c r="J432" t="str">
        <f>INDEX(Product!$A$1:$G$49,MATCH(orders!$D432,Product!$A$1:$A$49,0),MATCH(orders!J$1,Product!$A$1:$G$1,0))</f>
        <v>D</v>
      </c>
      <c r="K432" s="4">
        <f>INDEX(Product!$A$1:$G$49,MATCH(orders!$D432,Product!$A$1:$A$49,0),MATCH(orders!K$1,Product!$A$1:$G$1,0))</f>
        <v>0.2</v>
      </c>
      <c r="L432" s="5">
        <f>INDEX(Product!$A$1:$G$49,MATCH(orders!$D432,Product!$A$1:$A$49,0),MATCH(orders!L$1,Product!$A$1:$G$1,0))</f>
        <v>2.6849999999999996</v>
      </c>
      <c r="M432" s="5">
        <f t="shared" si="6"/>
        <v>5.3699999999999992</v>
      </c>
      <c r="N432" t="str" cm="1">
        <f t="array" ref="N432">_xlfn.IFS(I432="Rob", "Robusta", I432="Exc", "Excelsa", I432="Ara", "Arabica", I432="Lib", "Liberica", TRUE, "")</f>
        <v>Robusta</v>
      </c>
      <c r="O432" t="str" cm="1">
        <f t="array" ref="O432">_xlfn.IFS(J432="M", "Medium", J432="L", "Light", J432="D", "Dark", TRUE, "")</f>
        <v>Dark</v>
      </c>
      <c r="P432" t="str">
        <f>_xlfn.XLOOKUP(Table1[[#This Row],[Customer ID]], customers!$A$1:$A$1001, customers!$I$1:$I$1001,, 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INDEX(Product!$A$1:$G$49,MATCH(orders!$D433,Product!$A$1:$A$49,0),MATCH(orders!I$1,Product!$A$1:$G$1,0))</f>
        <v>Exc</v>
      </c>
      <c r="J433" t="str">
        <f>INDEX(Product!$A$1:$G$49,MATCH(orders!$D433,Product!$A$1:$A$49,0),MATCH(orders!J$1,Product!$A$1:$G$1,0))</f>
        <v>D</v>
      </c>
      <c r="K433" s="4">
        <f>INDEX(Product!$A$1:$G$49,MATCH(orders!$D433,Product!$A$1:$A$49,0),MATCH(orders!K$1,Product!$A$1:$G$1,0))</f>
        <v>2.5</v>
      </c>
      <c r="L433" s="5">
        <f>INDEX(Product!$A$1:$G$49,MATCH(orders!$D433,Product!$A$1:$A$49,0),MATCH(orders!L$1,Product!$A$1:$G$1,0))</f>
        <v>27.945</v>
      </c>
      <c r="M433" s="5">
        <f t="shared" si="6"/>
        <v>83.835000000000008</v>
      </c>
      <c r="N433" t="str" cm="1">
        <f t="array" ref="N433">_xlfn.IFS(I433="Rob", "Robusta", I433="Exc", "Excelsa", I433="Ara", "Arabica", I433="Lib", "Liberica", TRUE, "")</f>
        <v>Excelsa</v>
      </c>
      <c r="O433" t="str" cm="1">
        <f t="array" ref="O433">_xlfn.IFS(J433="M", "Medium", J433="L", "Light", J433="D", "Dark", TRUE, "")</f>
        <v>Dark</v>
      </c>
      <c r="P433" t="str">
        <f>_xlfn.XLOOKUP(Table1[[#This Row],[Customer ID]], customers!$A$1:$A$1001, customers!$I$1:$I$1001,, 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INDEX(Product!$A$1:$G$49,MATCH(orders!$D434,Product!$A$1:$A$49,0),MATCH(orders!I$1,Product!$A$1:$G$1,0))</f>
        <v>Ara</v>
      </c>
      <c r="J434" t="str">
        <f>INDEX(Product!$A$1:$G$49,MATCH(orders!$D434,Product!$A$1:$A$49,0),MATCH(orders!J$1,Product!$A$1:$G$1,0))</f>
        <v>M</v>
      </c>
      <c r="K434" s="4">
        <f>INDEX(Product!$A$1:$G$49,MATCH(orders!$D434,Product!$A$1:$A$49,0),MATCH(orders!K$1,Product!$A$1:$G$1,0))</f>
        <v>1</v>
      </c>
      <c r="L434" s="5">
        <f>INDEX(Product!$A$1:$G$49,MATCH(orders!$D434,Product!$A$1:$A$49,0),MATCH(orders!L$1,Product!$A$1:$G$1,0))</f>
        <v>11.25</v>
      </c>
      <c r="M434" s="5">
        <f t="shared" si="6"/>
        <v>22.5</v>
      </c>
      <c r="N434" t="str" cm="1">
        <f t="array" ref="N434">_xlfn.IFS(I434="Rob", "Robusta", I434="Exc", "Excelsa", I434="Ara", "Arabica", I434="Lib", "Liberica", TRUE, "")</f>
        <v>Arabica</v>
      </c>
      <c r="O434" t="str" cm="1">
        <f t="array" ref="O434">_xlfn.IFS(J434="M", "Medium", J434="L", "Light", J434="D", "Dark", TRUE, "")</f>
        <v>Medium</v>
      </c>
      <c r="P434" t="str">
        <f>_xlfn.XLOOKUP(Table1[[#This Row],[Customer ID]], customers!$A$1:$A$1001, customers!$I$1:$I$1001,, 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INDEX(Product!$A$1:$G$49,MATCH(orders!$D435,Product!$A$1:$A$49,0),MATCH(orders!I$1,Product!$A$1:$G$1,0))</f>
        <v>Lib</v>
      </c>
      <c r="J435" t="str">
        <f>INDEX(Product!$A$1:$G$49,MATCH(orders!$D435,Product!$A$1:$A$49,0),MATCH(orders!J$1,Product!$A$1:$G$1,0))</f>
        <v>M</v>
      </c>
      <c r="K435" s="4">
        <f>INDEX(Product!$A$1:$G$49,MATCH(orders!$D435,Product!$A$1:$A$49,0),MATCH(orders!K$1,Product!$A$1:$G$1,0))</f>
        <v>2.5</v>
      </c>
      <c r="L435" s="5">
        <f>INDEX(Product!$A$1:$G$49,MATCH(orders!$D435,Product!$A$1:$A$49,0),MATCH(orders!L$1,Product!$A$1:$G$1,0))</f>
        <v>33.464999999999996</v>
      </c>
      <c r="M435" s="5">
        <f t="shared" si="6"/>
        <v>200.78999999999996</v>
      </c>
      <c r="N435" t="str" cm="1">
        <f t="array" ref="N435">_xlfn.IFS(I435="Rob", "Robusta", I435="Exc", "Excelsa", I435="Ara", "Arabica", I435="Lib", "Liberica", TRUE, "")</f>
        <v>Liberica</v>
      </c>
      <c r="O435" t="str" cm="1">
        <f t="array" ref="O435">_xlfn.IFS(J435="M", "Medium", J435="L", "Light", J435="D", "Dark", TRUE, "")</f>
        <v>Medium</v>
      </c>
      <c r="P435" t="str">
        <f>_xlfn.XLOOKUP(Table1[[#This Row],[Customer ID]], customers!$A$1:$A$1001, customers!$I$1:$I$1001,, 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INDEX(Product!$A$1:$G$49,MATCH(orders!$D436,Product!$A$1:$A$49,0),MATCH(orders!I$1,Product!$A$1:$G$1,0))</f>
        <v>Ara</v>
      </c>
      <c r="J436" t="str">
        <f>INDEX(Product!$A$1:$G$49,MATCH(orders!$D436,Product!$A$1:$A$49,0),MATCH(orders!J$1,Product!$A$1:$G$1,0))</f>
        <v>M</v>
      </c>
      <c r="K436" s="4">
        <f>INDEX(Product!$A$1:$G$49,MATCH(orders!$D436,Product!$A$1:$A$49,0),MATCH(orders!K$1,Product!$A$1:$G$1,0))</f>
        <v>1</v>
      </c>
      <c r="L436" s="5">
        <f>INDEX(Product!$A$1:$G$49,MATCH(orders!$D436,Product!$A$1:$A$49,0),MATCH(orders!L$1,Product!$A$1:$G$1,0))</f>
        <v>11.25</v>
      </c>
      <c r="M436" s="5">
        <f t="shared" si="6"/>
        <v>67.5</v>
      </c>
      <c r="N436" t="str" cm="1">
        <f t="array" ref="N436">_xlfn.IFS(I436="Rob", "Robusta", I436="Exc", "Excelsa", I436="Ara", "Arabica", I436="Lib", "Liberica", TRUE, "")</f>
        <v>Arabica</v>
      </c>
      <c r="O436" t="str" cm="1">
        <f t="array" ref="O436">_xlfn.IFS(J436="M", "Medium", J436="L", "Light", J436="D", "Dark", TRUE, "")</f>
        <v>Medium</v>
      </c>
      <c r="P436" t="str">
        <f>_xlfn.XLOOKUP(Table1[[#This Row],[Customer ID]], customers!$A$1:$A$1001, customers!$I$1:$I$1001,, 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INDEX(Product!$A$1:$G$49,MATCH(orders!$D437,Product!$A$1:$A$49,0),MATCH(orders!I$1,Product!$A$1:$G$1,0))</f>
        <v>Exc</v>
      </c>
      <c r="J437" t="str">
        <f>INDEX(Product!$A$1:$G$49,MATCH(orders!$D437,Product!$A$1:$A$49,0),MATCH(orders!J$1,Product!$A$1:$G$1,0))</f>
        <v>M</v>
      </c>
      <c r="K437" s="4">
        <f>INDEX(Product!$A$1:$G$49,MATCH(orders!$D437,Product!$A$1:$A$49,0),MATCH(orders!K$1,Product!$A$1:$G$1,0))</f>
        <v>0.5</v>
      </c>
      <c r="L437" s="5">
        <f>INDEX(Product!$A$1:$G$49,MATCH(orders!$D437,Product!$A$1:$A$49,0),MATCH(orders!L$1,Product!$A$1:$G$1,0))</f>
        <v>8.25</v>
      </c>
      <c r="M437" s="5">
        <f t="shared" si="6"/>
        <v>8.25</v>
      </c>
      <c r="N437" t="str" cm="1">
        <f t="array" ref="N437">_xlfn.IFS(I437="Rob", "Robusta", I437="Exc", "Excelsa", I437="Ara", "Arabica", I437="Lib", "Liberica", TRUE, "")</f>
        <v>Excelsa</v>
      </c>
      <c r="O437" t="str" cm="1">
        <f t="array" ref="O437">_xlfn.IFS(J437="M", "Medium", J437="L", "Light", J437="D", "Dark", TRUE, "")</f>
        <v>Medium</v>
      </c>
      <c r="P437" t="str">
        <f>_xlfn.XLOOKUP(Table1[[#This Row],[Customer ID]], customers!$A$1:$A$1001, customers!$I$1:$I$1001,, 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INDEX(Product!$A$1:$G$49,MATCH(orders!$D438,Product!$A$1:$A$49,0),MATCH(orders!I$1,Product!$A$1:$G$1,0))</f>
        <v>Lib</v>
      </c>
      <c r="J438" t="str">
        <f>INDEX(Product!$A$1:$G$49,MATCH(orders!$D438,Product!$A$1:$A$49,0),MATCH(orders!J$1,Product!$A$1:$G$1,0))</f>
        <v>L</v>
      </c>
      <c r="K438" s="4">
        <f>INDEX(Product!$A$1:$G$49,MATCH(orders!$D438,Product!$A$1:$A$49,0),MATCH(orders!K$1,Product!$A$1:$G$1,0))</f>
        <v>0.2</v>
      </c>
      <c r="L438" s="5">
        <f>INDEX(Product!$A$1:$G$49,MATCH(orders!$D438,Product!$A$1:$A$49,0),MATCH(orders!L$1,Product!$A$1:$G$1,0))</f>
        <v>4.7549999999999999</v>
      </c>
      <c r="M438" s="5">
        <f t="shared" si="6"/>
        <v>9.51</v>
      </c>
      <c r="N438" t="str" cm="1">
        <f t="array" ref="N438">_xlfn.IFS(I438="Rob", "Robusta", I438="Exc", "Excelsa", I438="Ara", "Arabica", I438="Lib", "Liberica", TRUE, "")</f>
        <v>Liberica</v>
      </c>
      <c r="O438" t="str" cm="1">
        <f t="array" ref="O438">_xlfn.IFS(J438="M", "Medium", J438="L", "Light", J438="D", "Dark", TRUE, "")</f>
        <v>Light</v>
      </c>
      <c r="P438" t="str">
        <f>_xlfn.XLOOKUP(Table1[[#This Row],[Customer ID]], customers!$A$1:$A$1001, customers!$I$1:$I$1001,, 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INDEX(Product!$A$1:$G$49,MATCH(orders!$D439,Product!$A$1:$A$49,0),MATCH(orders!I$1,Product!$A$1:$G$1,0))</f>
        <v>Lib</v>
      </c>
      <c r="J439" t="str">
        <f>INDEX(Product!$A$1:$G$49,MATCH(orders!$D439,Product!$A$1:$A$49,0),MATCH(orders!J$1,Product!$A$1:$G$1,0))</f>
        <v>D</v>
      </c>
      <c r="K439" s="4">
        <f>INDEX(Product!$A$1:$G$49,MATCH(orders!$D439,Product!$A$1:$A$49,0),MATCH(orders!K$1,Product!$A$1:$G$1,0))</f>
        <v>2.5</v>
      </c>
      <c r="L439" s="5">
        <f>INDEX(Product!$A$1:$G$49,MATCH(orders!$D439,Product!$A$1:$A$49,0),MATCH(orders!L$1,Product!$A$1:$G$1,0))</f>
        <v>29.784999999999997</v>
      </c>
      <c r="M439" s="5">
        <f t="shared" si="6"/>
        <v>29.784999999999997</v>
      </c>
      <c r="N439" t="str" cm="1">
        <f t="array" ref="N439">_xlfn.IFS(I439="Rob", "Robusta", I439="Exc", "Excelsa", I439="Ara", "Arabica", I439="Lib", "Liberica", TRUE, "")</f>
        <v>Liberica</v>
      </c>
      <c r="O439" t="str" cm="1">
        <f t="array" ref="O439">_xlfn.IFS(J439="M", "Medium", J439="L", "Light", J439="D", "Dark", TRUE, "")</f>
        <v>Dark</v>
      </c>
      <c r="P439" t="str">
        <f>_xlfn.XLOOKUP(Table1[[#This Row],[Customer ID]], customers!$A$1:$A$1001, customers!$I$1:$I$1001,, 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INDEX(Product!$A$1:$G$49,MATCH(orders!$D440,Product!$A$1:$A$49,0),MATCH(orders!I$1,Product!$A$1:$G$1,0))</f>
        <v>Lib</v>
      </c>
      <c r="J440" t="str">
        <f>INDEX(Product!$A$1:$G$49,MATCH(orders!$D440,Product!$A$1:$A$49,0),MATCH(orders!J$1,Product!$A$1:$G$1,0))</f>
        <v>D</v>
      </c>
      <c r="K440" s="4">
        <f>INDEX(Product!$A$1:$G$49,MATCH(orders!$D440,Product!$A$1:$A$49,0),MATCH(orders!K$1,Product!$A$1:$G$1,0))</f>
        <v>0.5</v>
      </c>
      <c r="L440" s="5">
        <f>INDEX(Product!$A$1:$G$49,MATCH(orders!$D440,Product!$A$1:$A$49,0),MATCH(orders!L$1,Product!$A$1:$G$1,0))</f>
        <v>7.77</v>
      </c>
      <c r="M440" s="5">
        <f t="shared" si="6"/>
        <v>15.54</v>
      </c>
      <c r="N440" t="str" cm="1">
        <f t="array" ref="N440">_xlfn.IFS(I440="Rob", "Robusta", I440="Exc", "Excelsa", I440="Ara", "Arabica", I440="Lib", "Liberica", TRUE, "")</f>
        <v>Liberica</v>
      </c>
      <c r="O440" t="str" cm="1">
        <f t="array" ref="O440">_xlfn.IFS(J440="M", "Medium", J440="L", "Light", J440="D", "Dark", TRUE, "")</f>
        <v>Dark</v>
      </c>
      <c r="P440" t="str">
        <f>_xlfn.XLOOKUP(Table1[[#This Row],[Customer ID]], customers!$A$1:$A$1001, customers!$I$1:$I$1001,, 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INDEX(Product!$A$1:$G$49,MATCH(orders!$D441,Product!$A$1:$A$49,0),MATCH(orders!I$1,Product!$A$1:$G$1,0))</f>
        <v>Exc</v>
      </c>
      <c r="J441" t="str">
        <f>INDEX(Product!$A$1:$G$49,MATCH(orders!$D441,Product!$A$1:$A$49,0),MATCH(orders!J$1,Product!$A$1:$G$1,0))</f>
        <v>L</v>
      </c>
      <c r="K441" s="4">
        <f>INDEX(Product!$A$1:$G$49,MATCH(orders!$D441,Product!$A$1:$A$49,0),MATCH(orders!K$1,Product!$A$1:$G$1,0))</f>
        <v>0.5</v>
      </c>
      <c r="L441" s="5">
        <f>INDEX(Product!$A$1:$G$49,MATCH(orders!$D441,Product!$A$1:$A$49,0),MATCH(orders!L$1,Product!$A$1:$G$1,0))</f>
        <v>8.91</v>
      </c>
      <c r="M441" s="5">
        <f t="shared" si="6"/>
        <v>35.64</v>
      </c>
      <c r="N441" t="str" cm="1">
        <f t="array" ref="N441">_xlfn.IFS(I441="Rob", "Robusta", I441="Exc", "Excelsa", I441="Ara", "Arabica", I441="Lib", "Liberica", TRUE, "")</f>
        <v>Excelsa</v>
      </c>
      <c r="O441" t="str" cm="1">
        <f t="array" ref="O441">_xlfn.IFS(J441="M", "Medium", J441="L", "Light", J441="D", "Dark", TRUE, "")</f>
        <v>Light</v>
      </c>
      <c r="P441" t="str">
        <f>_xlfn.XLOOKUP(Table1[[#This Row],[Customer ID]], customers!$A$1:$A$1001, customers!$I$1:$I$1001,, 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INDEX(Product!$A$1:$G$49,MATCH(orders!$D442,Product!$A$1:$A$49,0),MATCH(orders!I$1,Product!$A$1:$G$1,0))</f>
        <v>Ara</v>
      </c>
      <c r="J442" t="str">
        <f>INDEX(Product!$A$1:$G$49,MATCH(orders!$D442,Product!$A$1:$A$49,0),MATCH(orders!J$1,Product!$A$1:$G$1,0))</f>
        <v>M</v>
      </c>
      <c r="K442" s="4">
        <f>INDEX(Product!$A$1:$G$49,MATCH(orders!$D442,Product!$A$1:$A$49,0),MATCH(orders!K$1,Product!$A$1:$G$1,0))</f>
        <v>2.5</v>
      </c>
      <c r="L442" s="5">
        <f>INDEX(Product!$A$1:$G$49,MATCH(orders!$D442,Product!$A$1:$A$49,0),MATCH(orders!L$1,Product!$A$1:$G$1,0))</f>
        <v>25.874999999999996</v>
      </c>
      <c r="M442" s="5">
        <f t="shared" si="6"/>
        <v>103.49999999999999</v>
      </c>
      <c r="N442" t="str" cm="1">
        <f t="array" ref="N442">_xlfn.IFS(I442="Rob", "Robusta", I442="Exc", "Excelsa", I442="Ara", "Arabica", I442="Lib", "Liberica", TRUE, "")</f>
        <v>Arabica</v>
      </c>
      <c r="O442" t="str" cm="1">
        <f t="array" ref="O442">_xlfn.IFS(J442="M", "Medium", J442="L", "Light", J442="D", "Dark", TRUE, "")</f>
        <v>Medium</v>
      </c>
      <c r="P442" t="str">
        <f>_xlfn.XLOOKUP(Table1[[#This Row],[Customer ID]], customers!$A$1:$A$1001, customers!$I$1:$I$1001,, 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INDEX(Product!$A$1:$G$49,MATCH(orders!$D443,Product!$A$1:$A$49,0),MATCH(orders!I$1,Product!$A$1:$G$1,0))</f>
        <v>Exc</v>
      </c>
      <c r="J443" t="str">
        <f>INDEX(Product!$A$1:$G$49,MATCH(orders!$D443,Product!$A$1:$A$49,0),MATCH(orders!J$1,Product!$A$1:$G$1,0))</f>
        <v>D</v>
      </c>
      <c r="K443" s="4">
        <f>INDEX(Product!$A$1:$G$49,MATCH(orders!$D443,Product!$A$1:$A$49,0),MATCH(orders!K$1,Product!$A$1:$G$1,0))</f>
        <v>1</v>
      </c>
      <c r="L443" s="5">
        <f>INDEX(Product!$A$1:$G$49,MATCH(orders!$D443,Product!$A$1:$A$49,0),MATCH(orders!L$1,Product!$A$1:$G$1,0))</f>
        <v>12.15</v>
      </c>
      <c r="M443" s="5">
        <f t="shared" si="6"/>
        <v>36.450000000000003</v>
      </c>
      <c r="N443" t="str" cm="1">
        <f t="array" ref="N443">_xlfn.IFS(I443="Rob", "Robusta", I443="Exc", "Excelsa", I443="Ara", "Arabica", I443="Lib", "Liberica", TRUE, "")</f>
        <v>Excelsa</v>
      </c>
      <c r="O443" t="str" cm="1">
        <f t="array" ref="O443">_xlfn.IFS(J443="M", "Medium", J443="L", "Light", J443="D", "Dark", TRUE, "")</f>
        <v>Dark</v>
      </c>
      <c r="P443" t="str">
        <f>_xlfn.XLOOKUP(Table1[[#This Row],[Customer ID]], customers!$A$1:$A$1001, customers!$I$1:$I$1001,, 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INDEX(Product!$A$1:$G$49,MATCH(orders!$D444,Product!$A$1:$A$49,0),MATCH(orders!I$1,Product!$A$1:$G$1,0))</f>
        <v>Rob</v>
      </c>
      <c r="J444" t="str">
        <f>INDEX(Product!$A$1:$G$49,MATCH(orders!$D444,Product!$A$1:$A$49,0),MATCH(orders!J$1,Product!$A$1:$G$1,0))</f>
        <v>L</v>
      </c>
      <c r="K444" s="4">
        <f>INDEX(Product!$A$1:$G$49,MATCH(orders!$D444,Product!$A$1:$A$49,0),MATCH(orders!K$1,Product!$A$1:$G$1,0))</f>
        <v>0.5</v>
      </c>
      <c r="L444" s="5">
        <f>INDEX(Product!$A$1:$G$49,MATCH(orders!$D444,Product!$A$1:$A$49,0),MATCH(orders!L$1,Product!$A$1:$G$1,0))</f>
        <v>7.169999999999999</v>
      </c>
      <c r="M444" s="5">
        <f t="shared" si="6"/>
        <v>35.849999999999994</v>
      </c>
      <c r="N444" t="str" cm="1">
        <f t="array" ref="N444">_xlfn.IFS(I444="Rob", "Robusta", I444="Exc", "Excelsa", I444="Ara", "Arabica", I444="Lib", "Liberica", TRUE, "")</f>
        <v>Robusta</v>
      </c>
      <c r="O444" t="str" cm="1">
        <f t="array" ref="O444">_xlfn.IFS(J444="M", "Medium", J444="L", "Light", J444="D", "Dark", TRUE, "")</f>
        <v>Light</v>
      </c>
      <c r="P444" t="str">
        <f>_xlfn.XLOOKUP(Table1[[#This Row],[Customer ID]], customers!$A$1:$A$1001, customers!$I$1:$I$1001,, 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INDEX(Product!$A$1:$G$49,MATCH(orders!$D445,Product!$A$1:$A$49,0),MATCH(orders!I$1,Product!$A$1:$G$1,0))</f>
        <v>Exc</v>
      </c>
      <c r="J445" t="str">
        <f>INDEX(Product!$A$1:$G$49,MATCH(orders!$D445,Product!$A$1:$A$49,0),MATCH(orders!J$1,Product!$A$1:$G$1,0))</f>
        <v>L</v>
      </c>
      <c r="K445" s="4">
        <f>INDEX(Product!$A$1:$G$49,MATCH(orders!$D445,Product!$A$1:$A$49,0),MATCH(orders!K$1,Product!$A$1:$G$1,0))</f>
        <v>0.2</v>
      </c>
      <c r="L445" s="5">
        <f>INDEX(Product!$A$1:$G$49,MATCH(orders!$D445,Product!$A$1:$A$49,0),MATCH(orders!L$1,Product!$A$1:$G$1,0))</f>
        <v>4.4550000000000001</v>
      </c>
      <c r="M445" s="5">
        <f t="shared" si="6"/>
        <v>22.274999999999999</v>
      </c>
      <c r="N445" t="str" cm="1">
        <f t="array" ref="N445">_xlfn.IFS(I445="Rob", "Robusta", I445="Exc", "Excelsa", I445="Ara", "Arabica", I445="Lib", "Liberica", TRUE, "")</f>
        <v>Excelsa</v>
      </c>
      <c r="O445" t="str" cm="1">
        <f t="array" ref="O445">_xlfn.IFS(J445="M", "Medium", J445="L", "Light", J445="D", "Dark", TRUE, "")</f>
        <v>Light</v>
      </c>
      <c r="P445" t="str">
        <f>_xlfn.XLOOKUP(Table1[[#This Row],[Customer ID]], customers!$A$1:$A$1001, customers!$I$1:$I$1001,, 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INDEX(Product!$A$1:$G$49,MATCH(orders!$D446,Product!$A$1:$A$49,0),MATCH(orders!I$1,Product!$A$1:$G$1,0))</f>
        <v>Exc</v>
      </c>
      <c r="J446" t="str">
        <f>INDEX(Product!$A$1:$G$49,MATCH(orders!$D446,Product!$A$1:$A$49,0),MATCH(orders!J$1,Product!$A$1:$G$1,0))</f>
        <v>M</v>
      </c>
      <c r="K446" s="4">
        <f>INDEX(Product!$A$1:$G$49,MATCH(orders!$D446,Product!$A$1:$A$49,0),MATCH(orders!K$1,Product!$A$1:$G$1,0))</f>
        <v>0.2</v>
      </c>
      <c r="L446" s="5">
        <f>INDEX(Product!$A$1:$G$49,MATCH(orders!$D446,Product!$A$1:$A$49,0),MATCH(orders!L$1,Product!$A$1:$G$1,0))</f>
        <v>4.125</v>
      </c>
      <c r="M446" s="5">
        <f t="shared" si="6"/>
        <v>24.75</v>
      </c>
      <c r="N446" t="str" cm="1">
        <f t="array" ref="N446">_xlfn.IFS(I446="Rob", "Robusta", I446="Exc", "Excelsa", I446="Ara", "Arabica", I446="Lib", "Liberica", TRUE, "")</f>
        <v>Excelsa</v>
      </c>
      <c r="O446" t="str" cm="1">
        <f t="array" ref="O446">_xlfn.IFS(J446="M", "Medium", J446="L", "Light", J446="D", "Dark", TRUE, "")</f>
        <v>Medium</v>
      </c>
      <c r="P446" t="str">
        <f>_xlfn.XLOOKUP(Table1[[#This Row],[Customer ID]], customers!$A$1:$A$1001, customers!$I$1:$I$1001,, 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INDEX(Product!$A$1:$G$49,MATCH(orders!$D447,Product!$A$1:$A$49,0),MATCH(orders!I$1,Product!$A$1:$G$1,0))</f>
        <v>Lib</v>
      </c>
      <c r="J447" t="str">
        <f>INDEX(Product!$A$1:$G$49,MATCH(orders!$D447,Product!$A$1:$A$49,0),MATCH(orders!J$1,Product!$A$1:$G$1,0))</f>
        <v>M</v>
      </c>
      <c r="K447" s="4">
        <f>INDEX(Product!$A$1:$G$49,MATCH(orders!$D447,Product!$A$1:$A$49,0),MATCH(orders!K$1,Product!$A$1:$G$1,0))</f>
        <v>2.5</v>
      </c>
      <c r="L447" s="5">
        <f>INDEX(Product!$A$1:$G$49,MATCH(orders!$D447,Product!$A$1:$A$49,0),MATCH(orders!L$1,Product!$A$1:$G$1,0))</f>
        <v>33.464999999999996</v>
      </c>
      <c r="M447" s="5">
        <f t="shared" si="6"/>
        <v>66.929999999999993</v>
      </c>
      <c r="N447" t="str" cm="1">
        <f t="array" ref="N447">_xlfn.IFS(I447="Rob", "Robusta", I447="Exc", "Excelsa", I447="Ara", "Arabica", I447="Lib", "Liberica", TRUE, "")</f>
        <v>Liberica</v>
      </c>
      <c r="O447" t="str" cm="1">
        <f t="array" ref="O447">_xlfn.IFS(J447="M", "Medium", J447="L", "Light", J447="D", "Dark", TRUE, "")</f>
        <v>Medium</v>
      </c>
      <c r="P447" t="str">
        <f>_xlfn.XLOOKUP(Table1[[#This Row],[Customer ID]], customers!$A$1:$A$1001, customers!$I$1:$I$1001,, 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INDEX(Product!$A$1:$G$49,MATCH(orders!$D448,Product!$A$1:$A$49,0),MATCH(orders!I$1,Product!$A$1:$G$1,0))</f>
        <v>Lib</v>
      </c>
      <c r="J448" t="str">
        <f>INDEX(Product!$A$1:$G$49,MATCH(orders!$D448,Product!$A$1:$A$49,0),MATCH(orders!J$1,Product!$A$1:$G$1,0))</f>
        <v>M</v>
      </c>
      <c r="K448" s="4">
        <f>INDEX(Product!$A$1:$G$49,MATCH(orders!$D448,Product!$A$1:$A$49,0),MATCH(orders!K$1,Product!$A$1:$G$1,0))</f>
        <v>0.5</v>
      </c>
      <c r="L448" s="5">
        <f>INDEX(Product!$A$1:$G$49,MATCH(orders!$D448,Product!$A$1:$A$49,0),MATCH(orders!L$1,Product!$A$1:$G$1,0))</f>
        <v>8.73</v>
      </c>
      <c r="M448" s="5">
        <f t="shared" si="6"/>
        <v>8.73</v>
      </c>
      <c r="N448" t="str" cm="1">
        <f t="array" ref="N448">_xlfn.IFS(I448="Rob", "Robusta", I448="Exc", "Excelsa", I448="Ara", "Arabica", I448="Lib", "Liberica", TRUE, "")</f>
        <v>Liberica</v>
      </c>
      <c r="O448" t="str" cm="1">
        <f t="array" ref="O448">_xlfn.IFS(J448="M", "Medium", J448="L", "Light", J448="D", "Dark", TRUE, "")</f>
        <v>Medium</v>
      </c>
      <c r="P448" t="str">
        <f>_xlfn.XLOOKUP(Table1[[#This Row],[Customer ID]], customers!$A$1:$A$1001, customers!$I$1:$I$1001,, 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INDEX(Product!$A$1:$G$49,MATCH(orders!$D449,Product!$A$1:$A$49,0),MATCH(orders!I$1,Product!$A$1:$G$1,0))</f>
        <v>Rob</v>
      </c>
      <c r="J449" t="str">
        <f>INDEX(Product!$A$1:$G$49,MATCH(orders!$D449,Product!$A$1:$A$49,0),MATCH(orders!J$1,Product!$A$1:$G$1,0))</f>
        <v>M</v>
      </c>
      <c r="K449" s="4">
        <f>INDEX(Product!$A$1:$G$49,MATCH(orders!$D449,Product!$A$1:$A$49,0),MATCH(orders!K$1,Product!$A$1:$G$1,0))</f>
        <v>0.5</v>
      </c>
      <c r="L449" s="5">
        <f>INDEX(Product!$A$1:$G$49,MATCH(orders!$D449,Product!$A$1:$A$49,0),MATCH(orders!L$1,Product!$A$1:$G$1,0))</f>
        <v>5.97</v>
      </c>
      <c r="M449" s="5">
        <f t="shared" si="6"/>
        <v>17.91</v>
      </c>
      <c r="N449" t="str" cm="1">
        <f t="array" ref="N449">_xlfn.IFS(I449="Rob", "Robusta", I449="Exc", "Excelsa", I449="Ara", "Arabica", I449="Lib", "Liberica", TRUE, "")</f>
        <v>Robusta</v>
      </c>
      <c r="O449" t="str" cm="1">
        <f t="array" ref="O449">_xlfn.IFS(J449="M", "Medium", J449="L", "Light", J449="D", "Dark", TRUE, "")</f>
        <v>Medium</v>
      </c>
      <c r="P449" t="str">
        <f>_xlfn.XLOOKUP(Table1[[#This Row],[Customer ID]], customers!$A$1:$A$1001, customers!$I$1:$I$1001,, 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INDEX(Product!$A$1:$G$49,MATCH(orders!$D450,Product!$A$1:$A$49,0),MATCH(orders!I$1,Product!$A$1:$G$1,0))</f>
        <v>Rob</v>
      </c>
      <c r="J450" t="str">
        <f>INDEX(Product!$A$1:$G$49,MATCH(orders!$D450,Product!$A$1:$A$49,0),MATCH(orders!J$1,Product!$A$1:$G$1,0))</f>
        <v>L</v>
      </c>
      <c r="K450" s="4">
        <f>INDEX(Product!$A$1:$G$49,MATCH(orders!$D450,Product!$A$1:$A$49,0),MATCH(orders!K$1,Product!$A$1:$G$1,0))</f>
        <v>0.5</v>
      </c>
      <c r="L450" s="5">
        <f>INDEX(Product!$A$1:$G$49,MATCH(orders!$D450,Product!$A$1:$A$49,0),MATCH(orders!L$1,Product!$A$1:$G$1,0))</f>
        <v>7.169999999999999</v>
      </c>
      <c r="M450" s="5">
        <f t="shared" ref="M450:M513" si="7">L450*E450</f>
        <v>7.169999999999999</v>
      </c>
      <c r="N450" t="str" cm="1">
        <f t="array" ref="N450">_xlfn.IFS(I450="Rob", "Robusta", I450="Exc", "Excelsa", I450="Ara", "Arabica", I450="Lib", "Liberica", TRUE, "")</f>
        <v>Robusta</v>
      </c>
      <c r="O450" t="str" cm="1">
        <f t="array" ref="O450">_xlfn.IFS(J450="M", "Medium", J450="L", "Light", J450="D", "Dark", TRUE, "")</f>
        <v>Light</v>
      </c>
      <c r="P450" t="str">
        <f>_xlfn.XLOOKUP(Table1[[#This Row],[Customer ID]], customers!$A$1:$A$1001, customers!$I$1:$I$1001,, 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INDEX(Product!$A$1:$G$49,MATCH(orders!$D451,Product!$A$1:$A$49,0),MATCH(orders!I$1,Product!$A$1:$G$1,0))</f>
        <v>Rob</v>
      </c>
      <c r="J451" t="str">
        <f>INDEX(Product!$A$1:$G$49,MATCH(orders!$D451,Product!$A$1:$A$49,0),MATCH(orders!J$1,Product!$A$1:$G$1,0))</f>
        <v>D</v>
      </c>
      <c r="K451" s="4">
        <f>INDEX(Product!$A$1:$G$49,MATCH(orders!$D451,Product!$A$1:$A$49,0),MATCH(orders!K$1,Product!$A$1:$G$1,0))</f>
        <v>0.2</v>
      </c>
      <c r="L451" s="5">
        <f>INDEX(Product!$A$1:$G$49,MATCH(orders!$D451,Product!$A$1:$A$49,0),MATCH(orders!L$1,Product!$A$1:$G$1,0))</f>
        <v>2.6849999999999996</v>
      </c>
      <c r="M451" s="5">
        <f t="shared" si="7"/>
        <v>5.3699999999999992</v>
      </c>
      <c r="N451" t="str" cm="1">
        <f t="array" ref="N451">_xlfn.IFS(I451="Rob", "Robusta", I451="Exc", "Excelsa", I451="Ara", "Arabica", I451="Lib", "Liberica", TRUE, "")</f>
        <v>Robusta</v>
      </c>
      <c r="O451" t="str" cm="1">
        <f t="array" ref="O451">_xlfn.IFS(J451="M", "Medium", J451="L", "Light", J451="D", "Dark", TRUE, "")</f>
        <v>Dark</v>
      </c>
      <c r="P451" t="str">
        <f>_xlfn.XLOOKUP(Table1[[#This Row],[Customer ID]], customers!$A$1:$A$1001, customers!$I$1:$I$1001,, 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INDEX(Product!$A$1:$G$49,MATCH(orders!$D452,Product!$A$1:$A$49,0),MATCH(orders!I$1,Product!$A$1:$G$1,0))</f>
        <v>Lib</v>
      </c>
      <c r="J452" t="str">
        <f>INDEX(Product!$A$1:$G$49,MATCH(orders!$D452,Product!$A$1:$A$49,0),MATCH(orders!J$1,Product!$A$1:$G$1,0))</f>
        <v>L</v>
      </c>
      <c r="K452" s="4">
        <f>INDEX(Product!$A$1:$G$49,MATCH(orders!$D452,Product!$A$1:$A$49,0),MATCH(orders!K$1,Product!$A$1:$G$1,0))</f>
        <v>0.2</v>
      </c>
      <c r="L452" s="5">
        <f>INDEX(Product!$A$1:$G$49,MATCH(orders!$D452,Product!$A$1:$A$49,0),MATCH(orders!L$1,Product!$A$1:$G$1,0))</f>
        <v>4.7549999999999999</v>
      </c>
      <c r="M452" s="5">
        <f t="shared" si="7"/>
        <v>23.774999999999999</v>
      </c>
      <c r="N452" t="str" cm="1">
        <f t="array" ref="N452">_xlfn.IFS(I452="Rob", "Robusta", I452="Exc", "Excelsa", I452="Ara", "Arabica", I452="Lib", "Liberica", TRUE, "")</f>
        <v>Liberica</v>
      </c>
      <c r="O452" t="str" cm="1">
        <f t="array" ref="O452">_xlfn.IFS(J452="M", "Medium", J452="L", "Light", J452="D", "Dark", TRUE, "")</f>
        <v>Light</v>
      </c>
      <c r="P452" t="str">
        <f>_xlfn.XLOOKUP(Table1[[#This Row],[Customer ID]], customers!$A$1:$A$1001, customers!$I$1:$I$1001,, 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INDEX(Product!$A$1:$G$49,MATCH(orders!$D453,Product!$A$1:$A$49,0),MATCH(orders!I$1,Product!$A$1:$G$1,0))</f>
        <v>Rob</v>
      </c>
      <c r="J453" t="str">
        <f>INDEX(Product!$A$1:$G$49,MATCH(orders!$D453,Product!$A$1:$A$49,0),MATCH(orders!J$1,Product!$A$1:$G$1,0))</f>
        <v>D</v>
      </c>
      <c r="K453" s="4">
        <f>INDEX(Product!$A$1:$G$49,MATCH(orders!$D453,Product!$A$1:$A$49,0),MATCH(orders!K$1,Product!$A$1:$G$1,0))</f>
        <v>2.5</v>
      </c>
      <c r="L453" s="5">
        <f>INDEX(Product!$A$1:$G$49,MATCH(orders!$D453,Product!$A$1:$A$49,0),MATCH(orders!L$1,Product!$A$1:$G$1,0))</f>
        <v>20.584999999999997</v>
      </c>
      <c r="M453" s="5">
        <f t="shared" si="7"/>
        <v>41.169999999999995</v>
      </c>
      <c r="N453" t="str" cm="1">
        <f t="array" ref="N453">_xlfn.IFS(I453="Rob", "Robusta", I453="Exc", "Excelsa", I453="Ara", "Arabica", I453="Lib", "Liberica", TRUE, "")</f>
        <v>Robusta</v>
      </c>
      <c r="O453" t="str" cm="1">
        <f t="array" ref="O453">_xlfn.IFS(J453="M", "Medium", J453="L", "Light", J453="D", "Dark", TRUE, "")</f>
        <v>Dark</v>
      </c>
      <c r="P453" t="str">
        <f>_xlfn.XLOOKUP(Table1[[#This Row],[Customer ID]], customers!$A$1:$A$1001, customers!$I$1:$I$1001,, 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INDEX(Product!$A$1:$G$49,MATCH(orders!$D454,Product!$A$1:$A$49,0),MATCH(orders!I$1,Product!$A$1:$G$1,0))</f>
        <v>Ara</v>
      </c>
      <c r="J454" t="str">
        <f>INDEX(Product!$A$1:$G$49,MATCH(orders!$D454,Product!$A$1:$A$49,0),MATCH(orders!J$1,Product!$A$1:$G$1,0))</f>
        <v>L</v>
      </c>
      <c r="K454" s="4">
        <f>INDEX(Product!$A$1:$G$49,MATCH(orders!$D454,Product!$A$1:$A$49,0),MATCH(orders!K$1,Product!$A$1:$G$1,0))</f>
        <v>0.2</v>
      </c>
      <c r="L454" s="5">
        <f>INDEX(Product!$A$1:$G$49,MATCH(orders!$D454,Product!$A$1:$A$49,0),MATCH(orders!L$1,Product!$A$1:$G$1,0))</f>
        <v>3.8849999999999998</v>
      </c>
      <c r="M454" s="5">
        <f t="shared" si="7"/>
        <v>11.654999999999999</v>
      </c>
      <c r="N454" t="str" cm="1">
        <f t="array" ref="N454">_xlfn.IFS(I454="Rob", "Robusta", I454="Exc", "Excelsa", I454="Ara", "Arabica", I454="Lib", "Liberica", TRUE, "")</f>
        <v>Arabica</v>
      </c>
      <c r="O454" t="str" cm="1">
        <f t="array" ref="O454">_xlfn.IFS(J454="M", "Medium", J454="L", "Light", J454="D", "Dark", TRUE, "")</f>
        <v>Light</v>
      </c>
      <c r="P454" t="str">
        <f>_xlfn.XLOOKUP(Table1[[#This Row],[Customer ID]], customers!$A$1:$A$1001, customers!$I$1:$I$1001,, 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INDEX(Product!$A$1:$G$49,MATCH(orders!$D455,Product!$A$1:$A$49,0),MATCH(orders!I$1,Product!$A$1:$G$1,0))</f>
        <v>Lib</v>
      </c>
      <c r="J455" t="str">
        <f>INDEX(Product!$A$1:$G$49,MATCH(orders!$D455,Product!$A$1:$A$49,0),MATCH(orders!J$1,Product!$A$1:$G$1,0))</f>
        <v>L</v>
      </c>
      <c r="K455" s="4">
        <f>INDEX(Product!$A$1:$G$49,MATCH(orders!$D455,Product!$A$1:$A$49,0),MATCH(orders!K$1,Product!$A$1:$G$1,0))</f>
        <v>0.5</v>
      </c>
      <c r="L455" s="5">
        <f>INDEX(Product!$A$1:$G$49,MATCH(orders!$D455,Product!$A$1:$A$49,0),MATCH(orders!L$1,Product!$A$1:$G$1,0))</f>
        <v>9.51</v>
      </c>
      <c r="M455" s="5">
        <f t="shared" si="7"/>
        <v>38.04</v>
      </c>
      <c r="N455" t="str" cm="1">
        <f t="array" ref="N455">_xlfn.IFS(I455="Rob", "Robusta", I455="Exc", "Excelsa", I455="Ara", "Arabica", I455="Lib", "Liberica", TRUE, "")</f>
        <v>Liberica</v>
      </c>
      <c r="O455" t="str" cm="1">
        <f t="array" ref="O455">_xlfn.IFS(J455="M", "Medium", J455="L", "Light", J455="D", "Dark", TRUE, "")</f>
        <v>Light</v>
      </c>
      <c r="P455" t="str">
        <f>_xlfn.XLOOKUP(Table1[[#This Row],[Customer ID]], customers!$A$1:$A$1001, customers!$I$1:$I$1001,, 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INDEX(Product!$A$1:$G$49,MATCH(orders!$D456,Product!$A$1:$A$49,0),MATCH(orders!I$1,Product!$A$1:$G$1,0))</f>
        <v>Rob</v>
      </c>
      <c r="J456" t="str">
        <f>INDEX(Product!$A$1:$G$49,MATCH(orders!$D456,Product!$A$1:$A$49,0),MATCH(orders!J$1,Product!$A$1:$G$1,0))</f>
        <v>D</v>
      </c>
      <c r="K456" s="4">
        <f>INDEX(Product!$A$1:$G$49,MATCH(orders!$D456,Product!$A$1:$A$49,0),MATCH(orders!K$1,Product!$A$1:$G$1,0))</f>
        <v>2.5</v>
      </c>
      <c r="L456" s="5">
        <f>INDEX(Product!$A$1:$G$49,MATCH(orders!$D456,Product!$A$1:$A$49,0),MATCH(orders!L$1,Product!$A$1:$G$1,0))</f>
        <v>20.584999999999997</v>
      </c>
      <c r="M456" s="5">
        <f t="shared" si="7"/>
        <v>82.339999999999989</v>
      </c>
      <c r="N456" t="str" cm="1">
        <f t="array" ref="N456">_xlfn.IFS(I456="Rob", "Robusta", I456="Exc", "Excelsa", I456="Ara", "Arabica", I456="Lib", "Liberica", TRUE, "")</f>
        <v>Robusta</v>
      </c>
      <c r="O456" t="str" cm="1">
        <f t="array" ref="O456">_xlfn.IFS(J456="M", "Medium", J456="L", "Light", J456="D", "Dark", TRUE, "")</f>
        <v>Dark</v>
      </c>
      <c r="P456" t="str">
        <f>_xlfn.XLOOKUP(Table1[[#This Row],[Customer ID]], customers!$A$1:$A$1001, customers!$I$1:$I$1001,, 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INDEX(Product!$A$1:$G$49,MATCH(orders!$D457,Product!$A$1:$A$49,0),MATCH(orders!I$1,Product!$A$1:$G$1,0))</f>
        <v>Lib</v>
      </c>
      <c r="J457" t="str">
        <f>INDEX(Product!$A$1:$G$49,MATCH(orders!$D457,Product!$A$1:$A$49,0),MATCH(orders!J$1,Product!$A$1:$G$1,0))</f>
        <v>L</v>
      </c>
      <c r="K457" s="4">
        <f>INDEX(Product!$A$1:$G$49,MATCH(orders!$D457,Product!$A$1:$A$49,0),MATCH(orders!K$1,Product!$A$1:$G$1,0))</f>
        <v>0.2</v>
      </c>
      <c r="L457" s="5">
        <f>INDEX(Product!$A$1:$G$49,MATCH(orders!$D457,Product!$A$1:$A$49,0),MATCH(orders!L$1,Product!$A$1:$G$1,0))</f>
        <v>4.7549999999999999</v>
      </c>
      <c r="M457" s="5">
        <f t="shared" si="7"/>
        <v>9.51</v>
      </c>
      <c r="N457" t="str" cm="1">
        <f t="array" ref="N457">_xlfn.IFS(I457="Rob", "Robusta", I457="Exc", "Excelsa", I457="Ara", "Arabica", I457="Lib", "Liberica", TRUE, "")</f>
        <v>Liberica</v>
      </c>
      <c r="O457" t="str" cm="1">
        <f t="array" ref="O457">_xlfn.IFS(J457="M", "Medium", J457="L", "Light", J457="D", "Dark", TRUE, "")</f>
        <v>Light</v>
      </c>
      <c r="P457" t="str">
        <f>_xlfn.XLOOKUP(Table1[[#This Row],[Customer ID]], customers!$A$1:$A$1001, customers!$I$1:$I$1001,, 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INDEX(Product!$A$1:$G$49,MATCH(orders!$D458,Product!$A$1:$A$49,0),MATCH(orders!I$1,Product!$A$1:$G$1,0))</f>
        <v>Rob</v>
      </c>
      <c r="J458" t="str">
        <f>INDEX(Product!$A$1:$G$49,MATCH(orders!$D458,Product!$A$1:$A$49,0),MATCH(orders!J$1,Product!$A$1:$G$1,0))</f>
        <v>D</v>
      </c>
      <c r="K458" s="4">
        <f>INDEX(Product!$A$1:$G$49,MATCH(orders!$D458,Product!$A$1:$A$49,0),MATCH(orders!K$1,Product!$A$1:$G$1,0))</f>
        <v>2.5</v>
      </c>
      <c r="L458" s="5">
        <f>INDEX(Product!$A$1:$G$49,MATCH(orders!$D458,Product!$A$1:$A$49,0),MATCH(orders!L$1,Product!$A$1:$G$1,0))</f>
        <v>20.584999999999997</v>
      </c>
      <c r="M458" s="5">
        <f t="shared" si="7"/>
        <v>41.169999999999995</v>
      </c>
      <c r="N458" t="str" cm="1">
        <f t="array" ref="N458">_xlfn.IFS(I458="Rob", "Robusta", I458="Exc", "Excelsa", I458="Ara", "Arabica", I458="Lib", "Liberica", TRUE, "")</f>
        <v>Robusta</v>
      </c>
      <c r="O458" t="str" cm="1">
        <f t="array" ref="O458">_xlfn.IFS(J458="M", "Medium", J458="L", "Light", J458="D", "Dark", TRUE, "")</f>
        <v>Dark</v>
      </c>
      <c r="P458" t="str">
        <f>_xlfn.XLOOKUP(Table1[[#This Row],[Customer ID]], customers!$A$1:$A$1001, customers!$I$1:$I$1001,, 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INDEX(Product!$A$1:$G$49,MATCH(orders!$D459,Product!$A$1:$A$49,0),MATCH(orders!I$1,Product!$A$1:$G$1,0))</f>
        <v>Lib</v>
      </c>
      <c r="J459" t="str">
        <f>INDEX(Product!$A$1:$G$49,MATCH(orders!$D459,Product!$A$1:$A$49,0),MATCH(orders!J$1,Product!$A$1:$G$1,0))</f>
        <v>L</v>
      </c>
      <c r="K459" s="4">
        <f>INDEX(Product!$A$1:$G$49,MATCH(orders!$D459,Product!$A$1:$A$49,0),MATCH(orders!K$1,Product!$A$1:$G$1,0))</f>
        <v>0.5</v>
      </c>
      <c r="L459" s="5">
        <f>INDEX(Product!$A$1:$G$49,MATCH(orders!$D459,Product!$A$1:$A$49,0),MATCH(orders!L$1,Product!$A$1:$G$1,0))</f>
        <v>9.51</v>
      </c>
      <c r="M459" s="5">
        <f t="shared" si="7"/>
        <v>47.55</v>
      </c>
      <c r="N459" t="str" cm="1">
        <f t="array" ref="N459">_xlfn.IFS(I459="Rob", "Robusta", I459="Exc", "Excelsa", I459="Ara", "Arabica", I459="Lib", "Liberica", TRUE, "")</f>
        <v>Liberica</v>
      </c>
      <c r="O459" t="str" cm="1">
        <f t="array" ref="O459">_xlfn.IFS(J459="M", "Medium", J459="L", "Light", J459="D", "Dark", TRUE, "")</f>
        <v>Light</v>
      </c>
      <c r="P459" t="str">
        <f>_xlfn.XLOOKUP(Table1[[#This Row],[Customer ID]], customers!$A$1:$A$1001, customers!$I$1:$I$1001,, 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INDEX(Product!$A$1:$G$49,MATCH(orders!$D460,Product!$A$1:$A$49,0),MATCH(orders!I$1,Product!$A$1:$G$1,0))</f>
        <v>Ara</v>
      </c>
      <c r="J460" t="str">
        <f>INDEX(Product!$A$1:$G$49,MATCH(orders!$D460,Product!$A$1:$A$49,0),MATCH(orders!J$1,Product!$A$1:$G$1,0))</f>
        <v>M</v>
      </c>
      <c r="K460" s="4">
        <f>INDEX(Product!$A$1:$G$49,MATCH(orders!$D460,Product!$A$1:$A$49,0),MATCH(orders!K$1,Product!$A$1:$G$1,0))</f>
        <v>1</v>
      </c>
      <c r="L460" s="5">
        <f>INDEX(Product!$A$1:$G$49,MATCH(orders!$D460,Product!$A$1:$A$49,0),MATCH(orders!L$1,Product!$A$1:$G$1,0))</f>
        <v>11.25</v>
      </c>
      <c r="M460" s="5">
        <f t="shared" si="7"/>
        <v>45</v>
      </c>
      <c r="N460" t="str" cm="1">
        <f t="array" ref="N460">_xlfn.IFS(I460="Rob", "Robusta", I460="Exc", "Excelsa", I460="Ara", "Arabica", I460="Lib", "Liberica", TRUE, "")</f>
        <v>Arabica</v>
      </c>
      <c r="O460" t="str" cm="1">
        <f t="array" ref="O460">_xlfn.IFS(J460="M", "Medium", J460="L", "Light", J460="D", "Dark", TRUE, "")</f>
        <v>Medium</v>
      </c>
      <c r="P460" t="str">
        <f>_xlfn.XLOOKUP(Table1[[#This Row],[Customer ID]], customers!$A$1:$A$1001, customers!$I$1:$I$1001,, 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INDEX(Product!$A$1:$G$49,MATCH(orders!$D461,Product!$A$1:$A$49,0),MATCH(orders!I$1,Product!$A$1:$G$1,0))</f>
        <v>Lib</v>
      </c>
      <c r="J461" t="str">
        <f>INDEX(Product!$A$1:$G$49,MATCH(orders!$D461,Product!$A$1:$A$49,0),MATCH(orders!J$1,Product!$A$1:$G$1,0))</f>
        <v>L</v>
      </c>
      <c r="K461" s="4">
        <f>INDEX(Product!$A$1:$G$49,MATCH(orders!$D461,Product!$A$1:$A$49,0),MATCH(orders!K$1,Product!$A$1:$G$1,0))</f>
        <v>0.2</v>
      </c>
      <c r="L461" s="5">
        <f>INDEX(Product!$A$1:$G$49,MATCH(orders!$D461,Product!$A$1:$A$49,0),MATCH(orders!L$1,Product!$A$1:$G$1,0))</f>
        <v>4.7549999999999999</v>
      </c>
      <c r="M461" s="5">
        <f t="shared" si="7"/>
        <v>23.774999999999999</v>
      </c>
      <c r="N461" t="str" cm="1">
        <f t="array" ref="N461">_xlfn.IFS(I461="Rob", "Robusta", I461="Exc", "Excelsa", I461="Ara", "Arabica", I461="Lib", "Liberica", TRUE, "")</f>
        <v>Liberica</v>
      </c>
      <c r="O461" t="str" cm="1">
        <f t="array" ref="O461">_xlfn.IFS(J461="M", "Medium", J461="L", "Light", J461="D", "Dark", TRUE, "")</f>
        <v>Light</v>
      </c>
      <c r="P461" t="str">
        <f>_xlfn.XLOOKUP(Table1[[#This Row],[Customer ID]], customers!$A$1:$A$1001, customers!$I$1:$I$1001,, 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INDEX(Product!$A$1:$G$49,MATCH(orders!$D462,Product!$A$1:$A$49,0),MATCH(orders!I$1,Product!$A$1:$G$1,0))</f>
        <v>Rob</v>
      </c>
      <c r="J462" t="str">
        <f>INDEX(Product!$A$1:$G$49,MATCH(orders!$D462,Product!$A$1:$A$49,0),MATCH(orders!J$1,Product!$A$1:$G$1,0))</f>
        <v>D</v>
      </c>
      <c r="K462" s="4">
        <f>INDEX(Product!$A$1:$G$49,MATCH(orders!$D462,Product!$A$1:$A$49,0),MATCH(orders!K$1,Product!$A$1:$G$1,0))</f>
        <v>0.5</v>
      </c>
      <c r="L462" s="5">
        <f>INDEX(Product!$A$1:$G$49,MATCH(orders!$D462,Product!$A$1:$A$49,0),MATCH(orders!L$1,Product!$A$1:$G$1,0))</f>
        <v>5.3699999999999992</v>
      </c>
      <c r="M462" s="5">
        <f t="shared" si="7"/>
        <v>16.11</v>
      </c>
      <c r="N462" t="str" cm="1">
        <f t="array" ref="N462">_xlfn.IFS(I462="Rob", "Robusta", I462="Exc", "Excelsa", I462="Ara", "Arabica", I462="Lib", "Liberica", TRUE, "")</f>
        <v>Robusta</v>
      </c>
      <c r="O462" t="str" cm="1">
        <f t="array" ref="O462">_xlfn.IFS(J462="M", "Medium", J462="L", "Light", J462="D", "Dark", TRUE, "")</f>
        <v>Dark</v>
      </c>
      <c r="P462" t="str">
        <f>_xlfn.XLOOKUP(Table1[[#This Row],[Customer ID]], customers!$A$1:$A$1001, customers!$I$1:$I$1001,, 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INDEX(Product!$A$1:$G$49,MATCH(orders!$D463,Product!$A$1:$A$49,0),MATCH(orders!I$1,Product!$A$1:$G$1,0))</f>
        <v>Rob</v>
      </c>
      <c r="J463" t="str">
        <f>INDEX(Product!$A$1:$G$49,MATCH(orders!$D463,Product!$A$1:$A$49,0),MATCH(orders!J$1,Product!$A$1:$G$1,0))</f>
        <v>D</v>
      </c>
      <c r="K463" s="4">
        <f>INDEX(Product!$A$1:$G$49,MATCH(orders!$D463,Product!$A$1:$A$49,0),MATCH(orders!K$1,Product!$A$1:$G$1,0))</f>
        <v>0.2</v>
      </c>
      <c r="L463" s="5">
        <f>INDEX(Product!$A$1:$G$49,MATCH(orders!$D463,Product!$A$1:$A$49,0),MATCH(orders!L$1,Product!$A$1:$G$1,0))</f>
        <v>2.6849999999999996</v>
      </c>
      <c r="M463" s="5">
        <f t="shared" si="7"/>
        <v>10.739999999999998</v>
      </c>
      <c r="N463" t="str" cm="1">
        <f t="array" ref="N463">_xlfn.IFS(I463="Rob", "Robusta", I463="Exc", "Excelsa", I463="Ara", "Arabica", I463="Lib", "Liberica", TRUE, "")</f>
        <v>Robusta</v>
      </c>
      <c r="O463" t="str" cm="1">
        <f t="array" ref="O463">_xlfn.IFS(J463="M", "Medium", J463="L", "Light", J463="D", "Dark", TRUE, "")</f>
        <v>Dark</v>
      </c>
      <c r="P463" t="str">
        <f>_xlfn.XLOOKUP(Table1[[#This Row],[Customer ID]], customers!$A$1:$A$1001, customers!$I$1:$I$1001,, 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INDEX(Product!$A$1:$G$49,MATCH(orders!$D464,Product!$A$1:$A$49,0),MATCH(orders!I$1,Product!$A$1:$G$1,0))</f>
        <v>Ara</v>
      </c>
      <c r="J464" t="str">
        <f>INDEX(Product!$A$1:$G$49,MATCH(orders!$D464,Product!$A$1:$A$49,0),MATCH(orders!J$1,Product!$A$1:$G$1,0))</f>
        <v>D</v>
      </c>
      <c r="K464" s="4">
        <f>INDEX(Product!$A$1:$G$49,MATCH(orders!$D464,Product!$A$1:$A$49,0),MATCH(orders!K$1,Product!$A$1:$G$1,0))</f>
        <v>1</v>
      </c>
      <c r="L464" s="5">
        <f>INDEX(Product!$A$1:$G$49,MATCH(orders!$D464,Product!$A$1:$A$49,0),MATCH(orders!L$1,Product!$A$1:$G$1,0))</f>
        <v>9.9499999999999993</v>
      </c>
      <c r="M464" s="5">
        <f t="shared" si="7"/>
        <v>49.75</v>
      </c>
      <c r="N464" t="str" cm="1">
        <f t="array" ref="N464">_xlfn.IFS(I464="Rob", "Robusta", I464="Exc", "Excelsa", I464="Ara", "Arabica", I464="Lib", "Liberica", TRUE, "")</f>
        <v>Arabica</v>
      </c>
      <c r="O464" t="str" cm="1">
        <f t="array" ref="O464">_xlfn.IFS(J464="M", "Medium", J464="L", "Light", J464="D", "Dark", TRUE, "")</f>
        <v>Dark</v>
      </c>
      <c r="P464" t="str">
        <f>_xlfn.XLOOKUP(Table1[[#This Row],[Customer ID]], customers!$A$1:$A$1001, customers!$I$1:$I$1001,, 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INDEX(Product!$A$1:$G$49,MATCH(orders!$D465,Product!$A$1:$A$49,0),MATCH(orders!I$1,Product!$A$1:$G$1,0))</f>
        <v>Exc</v>
      </c>
      <c r="J465" t="str">
        <f>INDEX(Product!$A$1:$G$49,MATCH(orders!$D465,Product!$A$1:$A$49,0),MATCH(orders!J$1,Product!$A$1:$G$1,0))</f>
        <v>M</v>
      </c>
      <c r="K465" s="4">
        <f>INDEX(Product!$A$1:$G$49,MATCH(orders!$D465,Product!$A$1:$A$49,0),MATCH(orders!K$1,Product!$A$1:$G$1,0))</f>
        <v>1</v>
      </c>
      <c r="L465" s="5">
        <f>INDEX(Product!$A$1:$G$49,MATCH(orders!$D465,Product!$A$1:$A$49,0),MATCH(orders!L$1,Product!$A$1:$G$1,0))</f>
        <v>13.75</v>
      </c>
      <c r="M465" s="5">
        <f t="shared" si="7"/>
        <v>27.5</v>
      </c>
      <c r="N465" t="str" cm="1">
        <f t="array" ref="N465">_xlfn.IFS(I465="Rob", "Robusta", I465="Exc", "Excelsa", I465="Ara", "Arabica", I465="Lib", "Liberica", TRUE, "")</f>
        <v>Excelsa</v>
      </c>
      <c r="O465" t="str" cm="1">
        <f t="array" ref="O465">_xlfn.IFS(J465="M", "Medium", J465="L", "Light", J465="D", "Dark", TRUE, "")</f>
        <v>Medium</v>
      </c>
      <c r="P465" t="str">
        <f>_xlfn.XLOOKUP(Table1[[#This Row],[Customer ID]], customers!$A$1:$A$1001, customers!$I$1:$I$1001,, 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INDEX(Product!$A$1:$G$49,MATCH(orders!$D466,Product!$A$1:$A$49,0),MATCH(orders!I$1,Product!$A$1:$G$1,0))</f>
        <v>Lib</v>
      </c>
      <c r="J466" t="str">
        <f>INDEX(Product!$A$1:$G$49,MATCH(orders!$D466,Product!$A$1:$A$49,0),MATCH(orders!J$1,Product!$A$1:$G$1,0))</f>
        <v>D</v>
      </c>
      <c r="K466" s="4">
        <f>INDEX(Product!$A$1:$G$49,MATCH(orders!$D466,Product!$A$1:$A$49,0),MATCH(orders!K$1,Product!$A$1:$G$1,0))</f>
        <v>2.5</v>
      </c>
      <c r="L466" s="5">
        <f>INDEX(Product!$A$1:$G$49,MATCH(orders!$D466,Product!$A$1:$A$49,0),MATCH(orders!L$1,Product!$A$1:$G$1,0))</f>
        <v>29.784999999999997</v>
      </c>
      <c r="M466" s="5">
        <f t="shared" si="7"/>
        <v>119.13999999999999</v>
      </c>
      <c r="N466" t="str" cm="1">
        <f t="array" ref="N466">_xlfn.IFS(I466="Rob", "Robusta", I466="Exc", "Excelsa", I466="Ara", "Arabica", I466="Lib", "Liberica", TRUE, "")</f>
        <v>Liberica</v>
      </c>
      <c r="O466" t="str" cm="1">
        <f t="array" ref="O466">_xlfn.IFS(J466="M", "Medium", J466="L", "Light", J466="D", "Dark", TRUE, "")</f>
        <v>Dark</v>
      </c>
      <c r="P466" t="str">
        <f>_xlfn.XLOOKUP(Table1[[#This Row],[Customer ID]], customers!$A$1:$A$1001, customers!$I$1:$I$1001,, 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INDEX(Product!$A$1:$G$49,MATCH(orders!$D467,Product!$A$1:$A$49,0),MATCH(orders!I$1,Product!$A$1:$G$1,0))</f>
        <v>Rob</v>
      </c>
      <c r="J467" t="str">
        <f>INDEX(Product!$A$1:$G$49,MATCH(orders!$D467,Product!$A$1:$A$49,0),MATCH(orders!J$1,Product!$A$1:$G$1,0))</f>
        <v>D</v>
      </c>
      <c r="K467" s="4">
        <f>INDEX(Product!$A$1:$G$49,MATCH(orders!$D467,Product!$A$1:$A$49,0),MATCH(orders!K$1,Product!$A$1:$G$1,0))</f>
        <v>2.5</v>
      </c>
      <c r="L467" s="5">
        <f>INDEX(Product!$A$1:$G$49,MATCH(orders!$D467,Product!$A$1:$A$49,0),MATCH(orders!L$1,Product!$A$1:$G$1,0))</f>
        <v>20.584999999999997</v>
      </c>
      <c r="M467" s="5">
        <f t="shared" si="7"/>
        <v>20.584999999999997</v>
      </c>
      <c r="N467" t="str" cm="1">
        <f t="array" ref="N467">_xlfn.IFS(I467="Rob", "Robusta", I467="Exc", "Excelsa", I467="Ara", "Arabica", I467="Lib", "Liberica", TRUE, "")</f>
        <v>Robusta</v>
      </c>
      <c r="O467" t="str" cm="1">
        <f t="array" ref="O467">_xlfn.IFS(J467="M", "Medium", J467="L", "Light", J467="D", "Dark", TRUE, "")</f>
        <v>Dark</v>
      </c>
      <c r="P467" t="str">
        <f>_xlfn.XLOOKUP(Table1[[#This Row],[Customer ID]], customers!$A$1:$A$1001, customers!$I$1:$I$1001,, 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INDEX(Product!$A$1:$G$49,MATCH(orders!$D468,Product!$A$1:$A$49,0),MATCH(orders!I$1,Product!$A$1:$G$1,0))</f>
        <v>Ara</v>
      </c>
      <c r="J468" t="str">
        <f>INDEX(Product!$A$1:$G$49,MATCH(orders!$D468,Product!$A$1:$A$49,0),MATCH(orders!J$1,Product!$A$1:$G$1,0))</f>
        <v>D</v>
      </c>
      <c r="K468" s="4">
        <f>INDEX(Product!$A$1:$G$49,MATCH(orders!$D468,Product!$A$1:$A$49,0),MATCH(orders!K$1,Product!$A$1:$G$1,0))</f>
        <v>0.2</v>
      </c>
      <c r="L468" s="5">
        <f>INDEX(Product!$A$1:$G$49,MATCH(orders!$D468,Product!$A$1:$A$49,0),MATCH(orders!L$1,Product!$A$1:$G$1,0))</f>
        <v>2.9849999999999999</v>
      </c>
      <c r="M468" s="5">
        <f t="shared" si="7"/>
        <v>8.9550000000000001</v>
      </c>
      <c r="N468" t="str" cm="1">
        <f t="array" ref="N468">_xlfn.IFS(I468="Rob", "Robusta", I468="Exc", "Excelsa", I468="Ara", "Arabica", I468="Lib", "Liberica", TRUE, "")</f>
        <v>Arabica</v>
      </c>
      <c r="O468" t="str" cm="1">
        <f t="array" ref="O468">_xlfn.IFS(J468="M", "Medium", J468="L", "Light", J468="D", "Dark", TRUE, "")</f>
        <v>Dark</v>
      </c>
      <c r="P468" t="str">
        <f>_xlfn.XLOOKUP(Table1[[#This Row],[Customer ID]], customers!$A$1:$A$1001, customers!$I$1:$I$1001,, 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INDEX(Product!$A$1:$G$49,MATCH(orders!$D469,Product!$A$1:$A$49,0),MATCH(orders!I$1,Product!$A$1:$G$1,0))</f>
        <v>Ara</v>
      </c>
      <c r="J469" t="str">
        <f>INDEX(Product!$A$1:$G$49,MATCH(orders!$D469,Product!$A$1:$A$49,0),MATCH(orders!J$1,Product!$A$1:$G$1,0))</f>
        <v>D</v>
      </c>
      <c r="K469" s="4">
        <f>INDEX(Product!$A$1:$G$49,MATCH(orders!$D469,Product!$A$1:$A$49,0),MATCH(orders!K$1,Product!$A$1:$G$1,0))</f>
        <v>0.5</v>
      </c>
      <c r="L469" s="5">
        <f>INDEX(Product!$A$1:$G$49,MATCH(orders!$D469,Product!$A$1:$A$49,0),MATCH(orders!L$1,Product!$A$1:$G$1,0))</f>
        <v>5.97</v>
      </c>
      <c r="M469" s="5">
        <f t="shared" si="7"/>
        <v>5.97</v>
      </c>
      <c r="N469" t="str" cm="1">
        <f t="array" ref="N469">_xlfn.IFS(I469="Rob", "Robusta", I469="Exc", "Excelsa", I469="Ara", "Arabica", I469="Lib", "Liberica", TRUE, "")</f>
        <v>Arabica</v>
      </c>
      <c r="O469" t="str" cm="1">
        <f t="array" ref="O469">_xlfn.IFS(J469="M", "Medium", J469="L", "Light", J469="D", "Dark", TRUE, "")</f>
        <v>Dark</v>
      </c>
      <c r="P469" t="str">
        <f>_xlfn.XLOOKUP(Table1[[#This Row],[Customer ID]], customers!$A$1:$A$1001, customers!$I$1:$I$1001,, 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INDEX(Product!$A$1:$G$49,MATCH(orders!$D470,Product!$A$1:$A$49,0),MATCH(orders!I$1,Product!$A$1:$G$1,0))</f>
        <v>Exc</v>
      </c>
      <c r="J470" t="str">
        <f>INDEX(Product!$A$1:$G$49,MATCH(orders!$D470,Product!$A$1:$A$49,0),MATCH(orders!J$1,Product!$A$1:$G$1,0))</f>
        <v>M</v>
      </c>
      <c r="K470" s="4">
        <f>INDEX(Product!$A$1:$G$49,MATCH(orders!$D470,Product!$A$1:$A$49,0),MATCH(orders!K$1,Product!$A$1:$G$1,0))</f>
        <v>1</v>
      </c>
      <c r="L470" s="5">
        <f>INDEX(Product!$A$1:$G$49,MATCH(orders!$D470,Product!$A$1:$A$49,0),MATCH(orders!L$1,Product!$A$1:$G$1,0))</f>
        <v>13.75</v>
      </c>
      <c r="M470" s="5">
        <f t="shared" si="7"/>
        <v>41.25</v>
      </c>
      <c r="N470" t="str" cm="1">
        <f t="array" ref="N470">_xlfn.IFS(I470="Rob", "Robusta", I470="Exc", "Excelsa", I470="Ara", "Arabica", I470="Lib", "Liberica", TRUE, "")</f>
        <v>Excelsa</v>
      </c>
      <c r="O470" t="str" cm="1">
        <f t="array" ref="O470">_xlfn.IFS(J470="M", "Medium", J470="L", "Light", J470="D", "Dark", TRUE, "")</f>
        <v>Medium</v>
      </c>
      <c r="P470" t="str">
        <f>_xlfn.XLOOKUP(Table1[[#This Row],[Customer ID]], customers!$A$1:$A$1001, customers!$I$1:$I$1001,, 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INDEX(Product!$A$1:$G$49,MATCH(orders!$D471,Product!$A$1:$A$49,0),MATCH(orders!I$1,Product!$A$1:$G$1,0))</f>
        <v>Exc</v>
      </c>
      <c r="J471" t="str">
        <f>INDEX(Product!$A$1:$G$49,MATCH(orders!$D471,Product!$A$1:$A$49,0),MATCH(orders!J$1,Product!$A$1:$G$1,0))</f>
        <v>L</v>
      </c>
      <c r="K471" s="4">
        <f>INDEX(Product!$A$1:$G$49,MATCH(orders!$D471,Product!$A$1:$A$49,0),MATCH(orders!K$1,Product!$A$1:$G$1,0))</f>
        <v>0.2</v>
      </c>
      <c r="L471" s="5">
        <f>INDEX(Product!$A$1:$G$49,MATCH(orders!$D471,Product!$A$1:$A$49,0),MATCH(orders!L$1,Product!$A$1:$G$1,0))</f>
        <v>4.4550000000000001</v>
      </c>
      <c r="M471" s="5">
        <f t="shared" si="7"/>
        <v>22.274999999999999</v>
      </c>
      <c r="N471" t="str" cm="1">
        <f t="array" ref="N471">_xlfn.IFS(I471="Rob", "Robusta", I471="Exc", "Excelsa", I471="Ara", "Arabica", I471="Lib", "Liberica", TRUE, "")</f>
        <v>Excelsa</v>
      </c>
      <c r="O471" t="str" cm="1">
        <f t="array" ref="O471">_xlfn.IFS(J471="M", "Medium", J471="L", "Light", J471="D", "Dark", TRUE, "")</f>
        <v>Light</v>
      </c>
      <c r="P471" t="str">
        <f>_xlfn.XLOOKUP(Table1[[#This Row],[Customer ID]], customers!$A$1:$A$1001, customers!$I$1:$I$1001,, 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INDEX(Product!$A$1:$G$49,MATCH(orders!$D472,Product!$A$1:$A$49,0),MATCH(orders!I$1,Product!$A$1:$G$1,0))</f>
        <v>Ara</v>
      </c>
      <c r="J472" t="str">
        <f>INDEX(Product!$A$1:$G$49,MATCH(orders!$D472,Product!$A$1:$A$49,0),MATCH(orders!J$1,Product!$A$1:$G$1,0))</f>
        <v>M</v>
      </c>
      <c r="K472" s="4">
        <f>INDEX(Product!$A$1:$G$49,MATCH(orders!$D472,Product!$A$1:$A$49,0),MATCH(orders!K$1,Product!$A$1:$G$1,0))</f>
        <v>0.5</v>
      </c>
      <c r="L472" s="5">
        <f>INDEX(Product!$A$1:$G$49,MATCH(orders!$D472,Product!$A$1:$A$49,0),MATCH(orders!L$1,Product!$A$1:$G$1,0))</f>
        <v>6.75</v>
      </c>
      <c r="M472" s="5">
        <f t="shared" si="7"/>
        <v>6.75</v>
      </c>
      <c r="N472" t="str" cm="1">
        <f t="array" ref="N472">_xlfn.IFS(I472="Rob", "Robusta", I472="Exc", "Excelsa", I472="Ara", "Arabica", I472="Lib", "Liberica", TRUE, "")</f>
        <v>Arabica</v>
      </c>
      <c r="O472" t="str" cm="1">
        <f t="array" ref="O472">_xlfn.IFS(J472="M", "Medium", J472="L", "Light", J472="D", "Dark", TRUE, "")</f>
        <v>Medium</v>
      </c>
      <c r="P472" t="str">
        <f>_xlfn.XLOOKUP(Table1[[#This Row],[Customer ID]], customers!$A$1:$A$1001, customers!$I$1:$I$1001,, 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INDEX(Product!$A$1:$G$49,MATCH(orders!$D473,Product!$A$1:$A$49,0),MATCH(orders!I$1,Product!$A$1:$G$1,0))</f>
        <v>Lib</v>
      </c>
      <c r="J473" t="str">
        <f>INDEX(Product!$A$1:$G$49,MATCH(orders!$D473,Product!$A$1:$A$49,0),MATCH(orders!J$1,Product!$A$1:$G$1,0))</f>
        <v>M</v>
      </c>
      <c r="K473" s="4">
        <f>INDEX(Product!$A$1:$G$49,MATCH(orders!$D473,Product!$A$1:$A$49,0),MATCH(orders!K$1,Product!$A$1:$G$1,0))</f>
        <v>2.5</v>
      </c>
      <c r="L473" s="5">
        <f>INDEX(Product!$A$1:$G$49,MATCH(orders!$D473,Product!$A$1:$A$49,0),MATCH(orders!L$1,Product!$A$1:$G$1,0))</f>
        <v>33.464999999999996</v>
      </c>
      <c r="M473" s="5">
        <f t="shared" si="7"/>
        <v>133.85999999999999</v>
      </c>
      <c r="N473" t="str" cm="1">
        <f t="array" ref="N473">_xlfn.IFS(I473="Rob", "Robusta", I473="Exc", "Excelsa", I473="Ara", "Arabica", I473="Lib", "Liberica", TRUE, "")</f>
        <v>Liberica</v>
      </c>
      <c r="O473" t="str" cm="1">
        <f t="array" ref="O473">_xlfn.IFS(J473="M", "Medium", J473="L", "Light", J473="D", "Dark", TRUE, "")</f>
        <v>Medium</v>
      </c>
      <c r="P473" t="str">
        <f>_xlfn.XLOOKUP(Table1[[#This Row],[Customer ID]], customers!$A$1:$A$1001, customers!$I$1:$I$1001,, 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INDEX(Product!$A$1:$G$49,MATCH(orders!$D474,Product!$A$1:$A$49,0),MATCH(orders!I$1,Product!$A$1:$G$1,0))</f>
        <v>Ara</v>
      </c>
      <c r="J474" t="str">
        <f>INDEX(Product!$A$1:$G$49,MATCH(orders!$D474,Product!$A$1:$A$49,0),MATCH(orders!J$1,Product!$A$1:$G$1,0))</f>
        <v>D</v>
      </c>
      <c r="K474" s="4">
        <f>INDEX(Product!$A$1:$G$49,MATCH(orders!$D474,Product!$A$1:$A$49,0),MATCH(orders!K$1,Product!$A$1:$G$1,0))</f>
        <v>0.2</v>
      </c>
      <c r="L474" s="5">
        <f>INDEX(Product!$A$1:$G$49,MATCH(orders!$D474,Product!$A$1:$A$49,0),MATCH(orders!L$1,Product!$A$1:$G$1,0))</f>
        <v>2.9849999999999999</v>
      </c>
      <c r="M474" s="5">
        <f t="shared" si="7"/>
        <v>5.97</v>
      </c>
      <c r="N474" t="str" cm="1">
        <f t="array" ref="N474">_xlfn.IFS(I474="Rob", "Robusta", I474="Exc", "Excelsa", I474="Ara", "Arabica", I474="Lib", "Liberica", TRUE, "")</f>
        <v>Arabica</v>
      </c>
      <c r="O474" t="str" cm="1">
        <f t="array" ref="O474">_xlfn.IFS(J474="M", "Medium", J474="L", "Light", J474="D", "Dark", TRUE, "")</f>
        <v>Dark</v>
      </c>
      <c r="P474" t="str">
        <f>_xlfn.XLOOKUP(Table1[[#This Row],[Customer ID]], customers!$A$1:$A$1001, customers!$I$1:$I$1001,, 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INDEX(Product!$A$1:$G$49,MATCH(orders!$D475,Product!$A$1:$A$49,0),MATCH(orders!I$1,Product!$A$1:$G$1,0))</f>
        <v>Ara</v>
      </c>
      <c r="J475" t="str">
        <f>INDEX(Product!$A$1:$G$49,MATCH(orders!$D475,Product!$A$1:$A$49,0),MATCH(orders!J$1,Product!$A$1:$G$1,0))</f>
        <v>L</v>
      </c>
      <c r="K475" s="4">
        <f>INDEX(Product!$A$1:$G$49,MATCH(orders!$D475,Product!$A$1:$A$49,0),MATCH(orders!K$1,Product!$A$1:$G$1,0))</f>
        <v>1</v>
      </c>
      <c r="L475" s="5">
        <f>INDEX(Product!$A$1:$G$49,MATCH(orders!$D475,Product!$A$1:$A$49,0),MATCH(orders!L$1,Product!$A$1:$G$1,0))</f>
        <v>12.95</v>
      </c>
      <c r="M475" s="5">
        <f t="shared" si="7"/>
        <v>25.9</v>
      </c>
      <c r="N475" t="str" cm="1">
        <f t="array" ref="N475">_xlfn.IFS(I475="Rob", "Robusta", I475="Exc", "Excelsa", I475="Ara", "Arabica", I475="Lib", "Liberica", TRUE, "")</f>
        <v>Arabica</v>
      </c>
      <c r="O475" t="str" cm="1">
        <f t="array" ref="O475">_xlfn.IFS(J475="M", "Medium", J475="L", "Light", J475="D", "Dark", TRUE, "")</f>
        <v>Light</v>
      </c>
      <c r="P475" t="str">
        <f>_xlfn.XLOOKUP(Table1[[#This Row],[Customer ID]], customers!$A$1:$A$1001, customers!$I$1:$I$1001,, 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INDEX(Product!$A$1:$G$49,MATCH(orders!$D476,Product!$A$1:$A$49,0),MATCH(orders!I$1,Product!$A$1:$G$1,0))</f>
        <v>Exc</v>
      </c>
      <c r="J476" t="str">
        <f>INDEX(Product!$A$1:$G$49,MATCH(orders!$D476,Product!$A$1:$A$49,0),MATCH(orders!J$1,Product!$A$1:$G$1,0))</f>
        <v>M</v>
      </c>
      <c r="K476" s="4">
        <f>INDEX(Product!$A$1:$G$49,MATCH(orders!$D476,Product!$A$1:$A$49,0),MATCH(orders!K$1,Product!$A$1:$G$1,0))</f>
        <v>2.5</v>
      </c>
      <c r="L476" s="5">
        <f>INDEX(Product!$A$1:$G$49,MATCH(orders!$D476,Product!$A$1:$A$49,0),MATCH(orders!L$1,Product!$A$1:$G$1,0))</f>
        <v>31.624999999999996</v>
      </c>
      <c r="M476" s="5">
        <f t="shared" si="7"/>
        <v>31.624999999999996</v>
      </c>
      <c r="N476" t="str" cm="1">
        <f t="array" ref="N476">_xlfn.IFS(I476="Rob", "Robusta", I476="Exc", "Excelsa", I476="Ara", "Arabica", I476="Lib", "Liberica", TRUE, "")</f>
        <v>Excelsa</v>
      </c>
      <c r="O476" t="str" cm="1">
        <f t="array" ref="O476">_xlfn.IFS(J476="M", "Medium", J476="L", "Light", J476="D", "Dark", TRUE, "")</f>
        <v>Medium</v>
      </c>
      <c r="P476" t="str">
        <f>_xlfn.XLOOKUP(Table1[[#This Row],[Customer ID]], customers!$A$1:$A$1001, customers!$I$1:$I$1001,, 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INDEX(Product!$A$1:$G$49,MATCH(orders!$D477,Product!$A$1:$A$49,0),MATCH(orders!I$1,Product!$A$1:$G$1,0))</f>
        <v>Lib</v>
      </c>
      <c r="J477" t="str">
        <f>INDEX(Product!$A$1:$G$49,MATCH(orders!$D477,Product!$A$1:$A$49,0),MATCH(orders!J$1,Product!$A$1:$G$1,0))</f>
        <v>M</v>
      </c>
      <c r="K477" s="4">
        <f>INDEX(Product!$A$1:$G$49,MATCH(orders!$D477,Product!$A$1:$A$49,0),MATCH(orders!K$1,Product!$A$1:$G$1,0))</f>
        <v>0.2</v>
      </c>
      <c r="L477" s="5">
        <f>INDEX(Product!$A$1:$G$49,MATCH(orders!$D477,Product!$A$1:$A$49,0),MATCH(orders!L$1,Product!$A$1:$G$1,0))</f>
        <v>4.3650000000000002</v>
      </c>
      <c r="M477" s="5">
        <f t="shared" si="7"/>
        <v>8.73</v>
      </c>
      <c r="N477" t="str" cm="1">
        <f t="array" ref="N477">_xlfn.IFS(I477="Rob", "Robusta", I477="Exc", "Excelsa", I477="Ara", "Arabica", I477="Lib", "Liberica", TRUE, "")</f>
        <v>Liberica</v>
      </c>
      <c r="O477" t="str" cm="1">
        <f t="array" ref="O477">_xlfn.IFS(J477="M", "Medium", J477="L", "Light", J477="D", "Dark", TRUE, "")</f>
        <v>Medium</v>
      </c>
      <c r="P477" t="str">
        <f>_xlfn.XLOOKUP(Table1[[#This Row],[Customer ID]], customers!$A$1:$A$1001, customers!$I$1:$I$1001,, 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INDEX(Product!$A$1:$G$49,MATCH(orders!$D478,Product!$A$1:$A$49,0),MATCH(orders!I$1,Product!$A$1:$G$1,0))</f>
        <v>Exc</v>
      </c>
      <c r="J478" t="str">
        <f>INDEX(Product!$A$1:$G$49,MATCH(orders!$D478,Product!$A$1:$A$49,0),MATCH(orders!J$1,Product!$A$1:$G$1,0))</f>
        <v>L</v>
      </c>
      <c r="K478" s="4">
        <f>INDEX(Product!$A$1:$G$49,MATCH(orders!$D478,Product!$A$1:$A$49,0),MATCH(orders!K$1,Product!$A$1:$G$1,0))</f>
        <v>0.2</v>
      </c>
      <c r="L478" s="5">
        <f>INDEX(Product!$A$1:$G$49,MATCH(orders!$D478,Product!$A$1:$A$49,0),MATCH(orders!L$1,Product!$A$1:$G$1,0))</f>
        <v>4.4550000000000001</v>
      </c>
      <c r="M478" s="5">
        <f t="shared" si="7"/>
        <v>26.73</v>
      </c>
      <c r="N478" t="str" cm="1">
        <f t="array" ref="N478">_xlfn.IFS(I478="Rob", "Robusta", I478="Exc", "Excelsa", I478="Ara", "Arabica", I478="Lib", "Liberica", TRUE, "")</f>
        <v>Excelsa</v>
      </c>
      <c r="O478" t="str" cm="1">
        <f t="array" ref="O478">_xlfn.IFS(J478="M", "Medium", J478="L", "Light", J478="D", "Dark", TRUE, "")</f>
        <v>Light</v>
      </c>
      <c r="P478" t="str">
        <f>_xlfn.XLOOKUP(Table1[[#This Row],[Customer ID]], customers!$A$1:$A$1001, customers!$I$1:$I$1001,, 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INDEX(Product!$A$1:$G$49,MATCH(orders!$D479,Product!$A$1:$A$49,0),MATCH(orders!I$1,Product!$A$1:$G$1,0))</f>
        <v>Lib</v>
      </c>
      <c r="J479" t="str">
        <f>INDEX(Product!$A$1:$G$49,MATCH(orders!$D479,Product!$A$1:$A$49,0),MATCH(orders!J$1,Product!$A$1:$G$1,0))</f>
        <v>M</v>
      </c>
      <c r="K479" s="4">
        <f>INDEX(Product!$A$1:$G$49,MATCH(orders!$D479,Product!$A$1:$A$49,0),MATCH(orders!K$1,Product!$A$1:$G$1,0))</f>
        <v>0.2</v>
      </c>
      <c r="L479" s="5">
        <f>INDEX(Product!$A$1:$G$49,MATCH(orders!$D479,Product!$A$1:$A$49,0),MATCH(orders!L$1,Product!$A$1:$G$1,0))</f>
        <v>4.3650000000000002</v>
      </c>
      <c r="M479" s="5">
        <f t="shared" si="7"/>
        <v>26.19</v>
      </c>
      <c r="N479" t="str" cm="1">
        <f t="array" ref="N479">_xlfn.IFS(I479="Rob", "Robusta", I479="Exc", "Excelsa", I479="Ara", "Arabica", I479="Lib", "Liberica", TRUE, "")</f>
        <v>Liberica</v>
      </c>
      <c r="O479" t="str" cm="1">
        <f t="array" ref="O479">_xlfn.IFS(J479="M", "Medium", J479="L", "Light", J479="D", "Dark", TRUE, "")</f>
        <v>Medium</v>
      </c>
      <c r="P479" t="str">
        <f>_xlfn.XLOOKUP(Table1[[#This Row],[Customer ID]], customers!$A$1:$A$1001, customers!$I$1:$I$1001,, 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INDEX(Product!$A$1:$G$49,MATCH(orders!$D480,Product!$A$1:$A$49,0),MATCH(orders!I$1,Product!$A$1:$G$1,0))</f>
        <v>Rob</v>
      </c>
      <c r="J480" t="str">
        <f>INDEX(Product!$A$1:$G$49,MATCH(orders!$D480,Product!$A$1:$A$49,0),MATCH(orders!J$1,Product!$A$1:$G$1,0))</f>
        <v>D</v>
      </c>
      <c r="K480" s="4">
        <f>INDEX(Product!$A$1:$G$49,MATCH(orders!$D480,Product!$A$1:$A$49,0),MATCH(orders!K$1,Product!$A$1:$G$1,0))</f>
        <v>1</v>
      </c>
      <c r="L480" s="5">
        <f>INDEX(Product!$A$1:$G$49,MATCH(orders!$D480,Product!$A$1:$A$49,0),MATCH(orders!L$1,Product!$A$1:$G$1,0))</f>
        <v>8.9499999999999993</v>
      </c>
      <c r="M480" s="5">
        <f t="shared" si="7"/>
        <v>53.699999999999996</v>
      </c>
      <c r="N480" t="str" cm="1">
        <f t="array" ref="N480">_xlfn.IFS(I480="Rob", "Robusta", I480="Exc", "Excelsa", I480="Ara", "Arabica", I480="Lib", "Liberica", TRUE, "")</f>
        <v>Robusta</v>
      </c>
      <c r="O480" t="str" cm="1">
        <f t="array" ref="O480">_xlfn.IFS(J480="M", "Medium", J480="L", "Light", J480="D", "Dark", TRUE, "")</f>
        <v>Dark</v>
      </c>
      <c r="P480" t="str">
        <f>_xlfn.XLOOKUP(Table1[[#This Row],[Customer ID]], customers!$A$1:$A$1001, customers!$I$1:$I$1001,, 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INDEX(Product!$A$1:$G$49,MATCH(orders!$D481,Product!$A$1:$A$49,0),MATCH(orders!I$1,Product!$A$1:$G$1,0))</f>
        <v>Exc</v>
      </c>
      <c r="J481" t="str">
        <f>INDEX(Product!$A$1:$G$49,MATCH(orders!$D481,Product!$A$1:$A$49,0),MATCH(orders!J$1,Product!$A$1:$G$1,0))</f>
        <v>M</v>
      </c>
      <c r="K481" s="4">
        <f>INDEX(Product!$A$1:$G$49,MATCH(orders!$D481,Product!$A$1:$A$49,0),MATCH(orders!K$1,Product!$A$1:$G$1,0))</f>
        <v>2.5</v>
      </c>
      <c r="L481" s="5">
        <f>INDEX(Product!$A$1:$G$49,MATCH(orders!$D481,Product!$A$1:$A$49,0),MATCH(orders!L$1,Product!$A$1:$G$1,0))</f>
        <v>31.624999999999996</v>
      </c>
      <c r="M481" s="5">
        <f t="shared" si="7"/>
        <v>126.49999999999999</v>
      </c>
      <c r="N481" t="str" cm="1">
        <f t="array" ref="N481">_xlfn.IFS(I481="Rob", "Robusta", I481="Exc", "Excelsa", I481="Ara", "Arabica", I481="Lib", "Liberica", TRUE, "")</f>
        <v>Excelsa</v>
      </c>
      <c r="O481" t="str" cm="1">
        <f t="array" ref="O481">_xlfn.IFS(J481="M", "Medium", J481="L", "Light", J481="D", "Dark", TRUE, "")</f>
        <v>Medium</v>
      </c>
      <c r="P481" t="str">
        <f>_xlfn.XLOOKUP(Table1[[#This Row],[Customer ID]], customers!$A$1:$A$1001, customers!$I$1:$I$1001,, 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INDEX(Product!$A$1:$G$49,MATCH(orders!$D482,Product!$A$1:$A$49,0),MATCH(orders!I$1,Product!$A$1:$G$1,0))</f>
        <v>Exc</v>
      </c>
      <c r="J482" t="str">
        <f>INDEX(Product!$A$1:$G$49,MATCH(orders!$D482,Product!$A$1:$A$49,0),MATCH(orders!J$1,Product!$A$1:$G$1,0))</f>
        <v>M</v>
      </c>
      <c r="K482" s="4">
        <f>INDEX(Product!$A$1:$G$49,MATCH(orders!$D482,Product!$A$1:$A$49,0),MATCH(orders!K$1,Product!$A$1:$G$1,0))</f>
        <v>0.2</v>
      </c>
      <c r="L482" s="5">
        <f>INDEX(Product!$A$1:$G$49,MATCH(orders!$D482,Product!$A$1:$A$49,0),MATCH(orders!L$1,Product!$A$1:$G$1,0))</f>
        <v>4.125</v>
      </c>
      <c r="M482" s="5">
        <f t="shared" si="7"/>
        <v>4.125</v>
      </c>
      <c r="N482" t="str" cm="1">
        <f t="array" ref="N482">_xlfn.IFS(I482="Rob", "Robusta", I482="Exc", "Excelsa", I482="Ara", "Arabica", I482="Lib", "Liberica", TRUE, "")</f>
        <v>Excelsa</v>
      </c>
      <c r="O482" t="str" cm="1">
        <f t="array" ref="O482">_xlfn.IFS(J482="M", "Medium", J482="L", "Light", J482="D", "Dark", TRUE, "")</f>
        <v>Medium</v>
      </c>
      <c r="P482" t="str">
        <f>_xlfn.XLOOKUP(Table1[[#This Row],[Customer ID]], customers!$A$1:$A$1001, customers!$I$1:$I$1001,, 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INDEX(Product!$A$1:$G$49,MATCH(orders!$D483,Product!$A$1:$A$49,0),MATCH(orders!I$1,Product!$A$1:$G$1,0))</f>
        <v>Rob</v>
      </c>
      <c r="J483" t="str">
        <f>INDEX(Product!$A$1:$G$49,MATCH(orders!$D483,Product!$A$1:$A$49,0),MATCH(orders!J$1,Product!$A$1:$G$1,0))</f>
        <v>L</v>
      </c>
      <c r="K483" s="4">
        <f>INDEX(Product!$A$1:$G$49,MATCH(orders!$D483,Product!$A$1:$A$49,0),MATCH(orders!K$1,Product!$A$1:$G$1,0))</f>
        <v>1</v>
      </c>
      <c r="L483" s="5">
        <f>INDEX(Product!$A$1:$G$49,MATCH(orders!$D483,Product!$A$1:$A$49,0),MATCH(orders!L$1,Product!$A$1:$G$1,0))</f>
        <v>11.95</v>
      </c>
      <c r="M483" s="5">
        <f t="shared" si="7"/>
        <v>23.9</v>
      </c>
      <c r="N483" t="str" cm="1">
        <f t="array" ref="N483">_xlfn.IFS(I483="Rob", "Robusta", I483="Exc", "Excelsa", I483="Ara", "Arabica", I483="Lib", "Liberica", TRUE, "")</f>
        <v>Robusta</v>
      </c>
      <c r="O483" t="str" cm="1">
        <f t="array" ref="O483">_xlfn.IFS(J483="M", "Medium", J483="L", "Light", J483="D", "Dark", TRUE, "")</f>
        <v>Light</v>
      </c>
      <c r="P483" t="str">
        <f>_xlfn.XLOOKUP(Table1[[#This Row],[Customer ID]], customers!$A$1:$A$1001, customers!$I$1:$I$1001,, 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INDEX(Product!$A$1:$G$49,MATCH(orders!$D484,Product!$A$1:$A$49,0),MATCH(orders!I$1,Product!$A$1:$G$1,0))</f>
        <v>Exc</v>
      </c>
      <c r="J484" t="str">
        <f>INDEX(Product!$A$1:$G$49,MATCH(orders!$D484,Product!$A$1:$A$49,0),MATCH(orders!J$1,Product!$A$1:$G$1,0))</f>
        <v>D</v>
      </c>
      <c r="K484" s="4">
        <f>INDEX(Product!$A$1:$G$49,MATCH(orders!$D484,Product!$A$1:$A$49,0),MATCH(orders!K$1,Product!$A$1:$G$1,0))</f>
        <v>2.5</v>
      </c>
      <c r="L484" s="5">
        <f>INDEX(Product!$A$1:$G$49,MATCH(orders!$D484,Product!$A$1:$A$49,0),MATCH(orders!L$1,Product!$A$1:$G$1,0))</f>
        <v>27.945</v>
      </c>
      <c r="M484" s="5">
        <f t="shared" si="7"/>
        <v>139.72499999999999</v>
      </c>
      <c r="N484" t="str" cm="1">
        <f t="array" ref="N484">_xlfn.IFS(I484="Rob", "Robusta", I484="Exc", "Excelsa", I484="Ara", "Arabica", I484="Lib", "Liberica", TRUE, "")</f>
        <v>Excelsa</v>
      </c>
      <c r="O484" t="str" cm="1">
        <f t="array" ref="O484">_xlfn.IFS(J484="M", "Medium", J484="L", "Light", J484="D", "Dark", TRUE, "")</f>
        <v>Dark</v>
      </c>
      <c r="P484" t="str">
        <f>_xlfn.XLOOKUP(Table1[[#This Row],[Customer ID]], customers!$A$1:$A$1001, customers!$I$1:$I$1001,, 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INDEX(Product!$A$1:$G$49,MATCH(orders!$D485,Product!$A$1:$A$49,0),MATCH(orders!I$1,Product!$A$1:$G$1,0))</f>
        <v>Lib</v>
      </c>
      <c r="J485" t="str">
        <f>INDEX(Product!$A$1:$G$49,MATCH(orders!$D485,Product!$A$1:$A$49,0),MATCH(orders!J$1,Product!$A$1:$G$1,0))</f>
        <v>D</v>
      </c>
      <c r="K485" s="4">
        <f>INDEX(Product!$A$1:$G$49,MATCH(orders!$D485,Product!$A$1:$A$49,0),MATCH(orders!K$1,Product!$A$1:$G$1,0))</f>
        <v>2.5</v>
      </c>
      <c r="L485" s="5">
        <f>INDEX(Product!$A$1:$G$49,MATCH(orders!$D485,Product!$A$1:$A$49,0),MATCH(orders!L$1,Product!$A$1:$G$1,0))</f>
        <v>29.784999999999997</v>
      </c>
      <c r="M485" s="5">
        <f t="shared" si="7"/>
        <v>59.569999999999993</v>
      </c>
      <c r="N485" t="str" cm="1">
        <f t="array" ref="N485">_xlfn.IFS(I485="Rob", "Robusta", I485="Exc", "Excelsa", I485="Ara", "Arabica", I485="Lib", "Liberica", TRUE, "")</f>
        <v>Liberica</v>
      </c>
      <c r="O485" t="str" cm="1">
        <f t="array" ref="O485">_xlfn.IFS(J485="M", "Medium", J485="L", "Light", J485="D", "Dark", TRUE, "")</f>
        <v>Dark</v>
      </c>
      <c r="P485" t="str">
        <f>_xlfn.XLOOKUP(Table1[[#This Row],[Customer ID]], customers!$A$1:$A$1001, customers!$I$1:$I$1001,, 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INDEX(Product!$A$1:$G$49,MATCH(orders!$D486,Product!$A$1:$A$49,0),MATCH(orders!I$1,Product!$A$1:$G$1,0))</f>
        <v>Lib</v>
      </c>
      <c r="J486" t="str">
        <f>INDEX(Product!$A$1:$G$49,MATCH(orders!$D486,Product!$A$1:$A$49,0),MATCH(orders!J$1,Product!$A$1:$G$1,0))</f>
        <v>L</v>
      </c>
      <c r="K486" s="4">
        <f>INDEX(Product!$A$1:$G$49,MATCH(orders!$D486,Product!$A$1:$A$49,0),MATCH(orders!K$1,Product!$A$1:$G$1,0))</f>
        <v>0.5</v>
      </c>
      <c r="L486" s="5">
        <f>INDEX(Product!$A$1:$G$49,MATCH(orders!$D486,Product!$A$1:$A$49,0),MATCH(orders!L$1,Product!$A$1:$G$1,0))</f>
        <v>9.51</v>
      </c>
      <c r="M486" s="5">
        <f t="shared" si="7"/>
        <v>57.06</v>
      </c>
      <c r="N486" t="str" cm="1">
        <f t="array" ref="N486">_xlfn.IFS(I486="Rob", "Robusta", I486="Exc", "Excelsa", I486="Ara", "Arabica", I486="Lib", "Liberica", TRUE, "")</f>
        <v>Liberica</v>
      </c>
      <c r="O486" t="str" cm="1">
        <f t="array" ref="O486">_xlfn.IFS(J486="M", "Medium", J486="L", "Light", J486="D", "Dark", TRUE, "")</f>
        <v>Light</v>
      </c>
      <c r="P486" t="str">
        <f>_xlfn.XLOOKUP(Table1[[#This Row],[Customer ID]], customers!$A$1:$A$1001, customers!$I$1:$I$1001,, 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INDEX(Product!$A$1:$G$49,MATCH(orders!$D487,Product!$A$1:$A$49,0),MATCH(orders!I$1,Product!$A$1:$G$1,0))</f>
        <v>Rob</v>
      </c>
      <c r="J487" t="str">
        <f>INDEX(Product!$A$1:$G$49,MATCH(orders!$D487,Product!$A$1:$A$49,0),MATCH(orders!J$1,Product!$A$1:$G$1,0))</f>
        <v>L</v>
      </c>
      <c r="K487" s="4">
        <f>INDEX(Product!$A$1:$G$49,MATCH(orders!$D487,Product!$A$1:$A$49,0),MATCH(orders!K$1,Product!$A$1:$G$1,0))</f>
        <v>0.2</v>
      </c>
      <c r="L487" s="5">
        <f>INDEX(Product!$A$1:$G$49,MATCH(orders!$D487,Product!$A$1:$A$49,0),MATCH(orders!L$1,Product!$A$1:$G$1,0))</f>
        <v>3.5849999999999995</v>
      </c>
      <c r="M487" s="5">
        <f t="shared" si="7"/>
        <v>21.509999999999998</v>
      </c>
      <c r="N487" t="str" cm="1">
        <f t="array" ref="N487">_xlfn.IFS(I487="Rob", "Robusta", I487="Exc", "Excelsa", I487="Ara", "Arabica", I487="Lib", "Liberica", TRUE, "")</f>
        <v>Robusta</v>
      </c>
      <c r="O487" t="str" cm="1">
        <f t="array" ref="O487">_xlfn.IFS(J487="M", "Medium", J487="L", "Light", J487="D", "Dark", TRUE, "")</f>
        <v>Light</v>
      </c>
      <c r="P487" t="str">
        <f>_xlfn.XLOOKUP(Table1[[#This Row],[Customer ID]], customers!$A$1:$A$1001, customers!$I$1:$I$1001,, 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INDEX(Product!$A$1:$G$49,MATCH(orders!$D488,Product!$A$1:$A$49,0),MATCH(orders!I$1,Product!$A$1:$G$1,0))</f>
        <v>Lib</v>
      </c>
      <c r="J488" t="str">
        <f>INDEX(Product!$A$1:$G$49,MATCH(orders!$D488,Product!$A$1:$A$49,0),MATCH(orders!J$1,Product!$A$1:$G$1,0))</f>
        <v>M</v>
      </c>
      <c r="K488" s="4">
        <f>INDEX(Product!$A$1:$G$49,MATCH(orders!$D488,Product!$A$1:$A$49,0),MATCH(orders!K$1,Product!$A$1:$G$1,0))</f>
        <v>0.5</v>
      </c>
      <c r="L488" s="5">
        <f>INDEX(Product!$A$1:$G$49,MATCH(orders!$D488,Product!$A$1:$A$49,0),MATCH(orders!L$1,Product!$A$1:$G$1,0))</f>
        <v>8.73</v>
      </c>
      <c r="M488" s="5">
        <f t="shared" si="7"/>
        <v>52.38</v>
      </c>
      <c r="N488" t="str" cm="1">
        <f t="array" ref="N488">_xlfn.IFS(I488="Rob", "Robusta", I488="Exc", "Excelsa", I488="Ara", "Arabica", I488="Lib", "Liberica", TRUE, "")</f>
        <v>Liberica</v>
      </c>
      <c r="O488" t="str" cm="1">
        <f t="array" ref="O488">_xlfn.IFS(J488="M", "Medium", J488="L", "Light", J488="D", "Dark", TRUE, "")</f>
        <v>Medium</v>
      </c>
      <c r="P488" t="str">
        <f>_xlfn.XLOOKUP(Table1[[#This Row],[Customer ID]], customers!$A$1:$A$1001, customers!$I$1:$I$1001,, 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INDEX(Product!$A$1:$G$49,MATCH(orders!$D489,Product!$A$1:$A$49,0),MATCH(orders!I$1,Product!$A$1:$G$1,0))</f>
        <v>Exc</v>
      </c>
      <c r="J489" t="str">
        <f>INDEX(Product!$A$1:$G$49,MATCH(orders!$D489,Product!$A$1:$A$49,0),MATCH(orders!J$1,Product!$A$1:$G$1,0))</f>
        <v>D</v>
      </c>
      <c r="K489" s="4">
        <f>INDEX(Product!$A$1:$G$49,MATCH(orders!$D489,Product!$A$1:$A$49,0),MATCH(orders!K$1,Product!$A$1:$G$1,0))</f>
        <v>1</v>
      </c>
      <c r="L489" s="5">
        <f>INDEX(Product!$A$1:$G$49,MATCH(orders!$D489,Product!$A$1:$A$49,0),MATCH(orders!L$1,Product!$A$1:$G$1,0))</f>
        <v>12.15</v>
      </c>
      <c r="M489" s="5">
        <f t="shared" si="7"/>
        <v>72.900000000000006</v>
      </c>
      <c r="N489" t="str" cm="1">
        <f t="array" ref="N489">_xlfn.IFS(I489="Rob", "Robusta", I489="Exc", "Excelsa", I489="Ara", "Arabica", I489="Lib", "Liberica", TRUE, "")</f>
        <v>Excelsa</v>
      </c>
      <c r="O489" t="str" cm="1">
        <f t="array" ref="O489">_xlfn.IFS(J489="M", "Medium", J489="L", "Light", J489="D", "Dark", TRUE, "")</f>
        <v>Dark</v>
      </c>
      <c r="P489" t="str">
        <f>_xlfn.XLOOKUP(Table1[[#This Row],[Customer ID]], customers!$A$1:$A$1001, customers!$I$1:$I$1001,, 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INDEX(Product!$A$1:$G$49,MATCH(orders!$D490,Product!$A$1:$A$49,0),MATCH(orders!I$1,Product!$A$1:$G$1,0))</f>
        <v>Rob</v>
      </c>
      <c r="J490" t="str">
        <f>INDEX(Product!$A$1:$G$49,MATCH(orders!$D490,Product!$A$1:$A$49,0),MATCH(orders!J$1,Product!$A$1:$G$1,0))</f>
        <v>M</v>
      </c>
      <c r="K490" s="4">
        <f>INDEX(Product!$A$1:$G$49,MATCH(orders!$D490,Product!$A$1:$A$49,0),MATCH(orders!K$1,Product!$A$1:$G$1,0))</f>
        <v>0.2</v>
      </c>
      <c r="L490" s="5">
        <f>INDEX(Product!$A$1:$G$49,MATCH(orders!$D490,Product!$A$1:$A$49,0),MATCH(orders!L$1,Product!$A$1:$G$1,0))</f>
        <v>2.9849999999999999</v>
      </c>
      <c r="M490" s="5">
        <f t="shared" si="7"/>
        <v>14.924999999999999</v>
      </c>
      <c r="N490" t="str" cm="1">
        <f t="array" ref="N490">_xlfn.IFS(I490="Rob", "Robusta", I490="Exc", "Excelsa", I490="Ara", "Arabica", I490="Lib", "Liberica", TRUE, "")</f>
        <v>Robusta</v>
      </c>
      <c r="O490" t="str" cm="1">
        <f t="array" ref="O490">_xlfn.IFS(J490="M", "Medium", J490="L", "Light", J490="D", "Dark", TRUE, "")</f>
        <v>Medium</v>
      </c>
      <c r="P490" t="str">
        <f>_xlfn.XLOOKUP(Table1[[#This Row],[Customer ID]], customers!$A$1:$A$1001, customers!$I$1:$I$1001,, 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INDEX(Product!$A$1:$G$49,MATCH(orders!$D491,Product!$A$1:$A$49,0),MATCH(orders!I$1,Product!$A$1:$G$1,0))</f>
        <v>Lib</v>
      </c>
      <c r="J491" t="str">
        <f>INDEX(Product!$A$1:$G$49,MATCH(orders!$D491,Product!$A$1:$A$49,0),MATCH(orders!J$1,Product!$A$1:$G$1,0))</f>
        <v>L</v>
      </c>
      <c r="K491" s="4">
        <f>INDEX(Product!$A$1:$G$49,MATCH(orders!$D491,Product!$A$1:$A$49,0),MATCH(orders!K$1,Product!$A$1:$G$1,0))</f>
        <v>1</v>
      </c>
      <c r="L491" s="5">
        <f>INDEX(Product!$A$1:$G$49,MATCH(orders!$D491,Product!$A$1:$A$49,0),MATCH(orders!L$1,Product!$A$1:$G$1,0))</f>
        <v>15.85</v>
      </c>
      <c r="M491" s="5">
        <f t="shared" si="7"/>
        <v>95.1</v>
      </c>
      <c r="N491" t="str" cm="1">
        <f t="array" ref="N491">_xlfn.IFS(I491="Rob", "Robusta", I491="Exc", "Excelsa", I491="Ara", "Arabica", I491="Lib", "Liberica", TRUE, "")</f>
        <v>Liberica</v>
      </c>
      <c r="O491" t="str" cm="1">
        <f t="array" ref="O491">_xlfn.IFS(J491="M", "Medium", J491="L", "Light", J491="D", "Dark", TRUE, "")</f>
        <v>Light</v>
      </c>
      <c r="P491" t="str">
        <f>_xlfn.XLOOKUP(Table1[[#This Row],[Customer ID]], customers!$A$1:$A$1001, customers!$I$1:$I$1001,, 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INDEX(Product!$A$1:$G$49,MATCH(orders!$D492,Product!$A$1:$A$49,0),MATCH(orders!I$1,Product!$A$1:$G$1,0))</f>
        <v>Lib</v>
      </c>
      <c r="J492" t="str">
        <f>INDEX(Product!$A$1:$G$49,MATCH(orders!$D492,Product!$A$1:$A$49,0),MATCH(orders!J$1,Product!$A$1:$G$1,0))</f>
        <v>D</v>
      </c>
      <c r="K492" s="4">
        <f>INDEX(Product!$A$1:$G$49,MATCH(orders!$D492,Product!$A$1:$A$49,0),MATCH(orders!K$1,Product!$A$1:$G$1,0))</f>
        <v>0.5</v>
      </c>
      <c r="L492" s="5">
        <f>INDEX(Product!$A$1:$G$49,MATCH(orders!$D492,Product!$A$1:$A$49,0),MATCH(orders!L$1,Product!$A$1:$G$1,0))</f>
        <v>7.77</v>
      </c>
      <c r="M492" s="5">
        <f t="shared" si="7"/>
        <v>15.54</v>
      </c>
      <c r="N492" t="str" cm="1">
        <f t="array" ref="N492">_xlfn.IFS(I492="Rob", "Robusta", I492="Exc", "Excelsa", I492="Ara", "Arabica", I492="Lib", "Liberica", TRUE, "")</f>
        <v>Liberica</v>
      </c>
      <c r="O492" t="str" cm="1">
        <f t="array" ref="O492">_xlfn.IFS(J492="M", "Medium", J492="L", "Light", J492="D", "Dark", TRUE, "")</f>
        <v>Dark</v>
      </c>
      <c r="P492" t="str">
        <f>_xlfn.XLOOKUP(Table1[[#This Row],[Customer ID]], customers!$A$1:$A$1001, customers!$I$1:$I$1001,, 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INDEX(Product!$A$1:$G$49,MATCH(orders!$D493,Product!$A$1:$A$49,0),MATCH(orders!I$1,Product!$A$1:$G$1,0))</f>
        <v>Lib</v>
      </c>
      <c r="J493" t="str">
        <f>INDEX(Product!$A$1:$G$49,MATCH(orders!$D493,Product!$A$1:$A$49,0),MATCH(orders!J$1,Product!$A$1:$G$1,0))</f>
        <v>D</v>
      </c>
      <c r="K493" s="4">
        <f>INDEX(Product!$A$1:$G$49,MATCH(orders!$D493,Product!$A$1:$A$49,0),MATCH(orders!K$1,Product!$A$1:$G$1,0))</f>
        <v>0.2</v>
      </c>
      <c r="L493" s="5">
        <f>INDEX(Product!$A$1:$G$49,MATCH(orders!$D493,Product!$A$1:$A$49,0),MATCH(orders!L$1,Product!$A$1:$G$1,0))</f>
        <v>3.8849999999999998</v>
      </c>
      <c r="M493" s="5">
        <f t="shared" si="7"/>
        <v>23.31</v>
      </c>
      <c r="N493" t="str" cm="1">
        <f t="array" ref="N493">_xlfn.IFS(I493="Rob", "Robusta", I493="Exc", "Excelsa", I493="Ara", "Arabica", I493="Lib", "Liberica", TRUE, "")</f>
        <v>Liberica</v>
      </c>
      <c r="O493" t="str" cm="1">
        <f t="array" ref="O493">_xlfn.IFS(J493="M", "Medium", J493="L", "Light", J493="D", "Dark", TRUE, "")</f>
        <v>Dark</v>
      </c>
      <c r="P493" t="str">
        <f>_xlfn.XLOOKUP(Table1[[#This Row],[Customer ID]], customers!$A$1:$A$1001, customers!$I$1:$I$1001,, 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INDEX(Product!$A$1:$G$49,MATCH(orders!$D494,Product!$A$1:$A$49,0),MATCH(orders!I$1,Product!$A$1:$G$1,0))</f>
        <v>Exc</v>
      </c>
      <c r="J494" t="str">
        <f>INDEX(Product!$A$1:$G$49,MATCH(orders!$D494,Product!$A$1:$A$49,0),MATCH(orders!J$1,Product!$A$1:$G$1,0))</f>
        <v>M</v>
      </c>
      <c r="K494" s="4">
        <f>INDEX(Product!$A$1:$G$49,MATCH(orders!$D494,Product!$A$1:$A$49,0),MATCH(orders!K$1,Product!$A$1:$G$1,0))</f>
        <v>0.2</v>
      </c>
      <c r="L494" s="5">
        <f>INDEX(Product!$A$1:$G$49,MATCH(orders!$D494,Product!$A$1:$A$49,0),MATCH(orders!L$1,Product!$A$1:$G$1,0))</f>
        <v>4.125</v>
      </c>
      <c r="M494" s="5">
        <f t="shared" si="7"/>
        <v>4.125</v>
      </c>
      <c r="N494" t="str" cm="1">
        <f t="array" ref="N494">_xlfn.IFS(I494="Rob", "Robusta", I494="Exc", "Excelsa", I494="Ara", "Arabica", I494="Lib", "Liberica", TRUE, "")</f>
        <v>Excelsa</v>
      </c>
      <c r="O494" t="str" cm="1">
        <f t="array" ref="O494">_xlfn.IFS(J494="M", "Medium", J494="L", "Light", J494="D", "Dark", TRUE, "")</f>
        <v>Medium</v>
      </c>
      <c r="P494" t="str">
        <f>_xlfn.XLOOKUP(Table1[[#This Row],[Customer ID]], customers!$A$1:$A$1001, customers!$I$1:$I$1001,, 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INDEX(Product!$A$1:$G$49,MATCH(orders!$D495,Product!$A$1:$A$49,0),MATCH(orders!I$1,Product!$A$1:$G$1,0))</f>
        <v>Rob</v>
      </c>
      <c r="J495" t="str">
        <f>INDEX(Product!$A$1:$G$49,MATCH(orders!$D495,Product!$A$1:$A$49,0),MATCH(orders!J$1,Product!$A$1:$G$1,0))</f>
        <v>M</v>
      </c>
      <c r="K495" s="4">
        <f>INDEX(Product!$A$1:$G$49,MATCH(orders!$D495,Product!$A$1:$A$49,0),MATCH(orders!K$1,Product!$A$1:$G$1,0))</f>
        <v>0.5</v>
      </c>
      <c r="L495" s="5">
        <f>INDEX(Product!$A$1:$G$49,MATCH(orders!$D495,Product!$A$1:$A$49,0),MATCH(orders!L$1,Product!$A$1:$G$1,0))</f>
        <v>5.97</v>
      </c>
      <c r="M495" s="5">
        <f t="shared" si="7"/>
        <v>35.82</v>
      </c>
      <c r="N495" t="str" cm="1">
        <f t="array" ref="N495">_xlfn.IFS(I495="Rob", "Robusta", I495="Exc", "Excelsa", I495="Ara", "Arabica", I495="Lib", "Liberica", TRUE, "")</f>
        <v>Robusta</v>
      </c>
      <c r="O495" t="str" cm="1">
        <f t="array" ref="O495">_xlfn.IFS(J495="M", "Medium", J495="L", "Light", J495="D", "Dark", TRUE, "")</f>
        <v>Medium</v>
      </c>
      <c r="P495" t="str">
        <f>_xlfn.XLOOKUP(Table1[[#This Row],[Customer ID]], customers!$A$1:$A$1001, customers!$I$1:$I$1001,, 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INDEX(Product!$A$1:$G$49,MATCH(orders!$D496,Product!$A$1:$A$49,0),MATCH(orders!I$1,Product!$A$1:$G$1,0))</f>
        <v>Lib</v>
      </c>
      <c r="J496" t="str">
        <f>INDEX(Product!$A$1:$G$49,MATCH(orders!$D496,Product!$A$1:$A$49,0),MATCH(orders!J$1,Product!$A$1:$G$1,0))</f>
        <v>L</v>
      </c>
      <c r="K496" s="4">
        <f>INDEX(Product!$A$1:$G$49,MATCH(orders!$D496,Product!$A$1:$A$49,0),MATCH(orders!K$1,Product!$A$1:$G$1,0))</f>
        <v>1</v>
      </c>
      <c r="L496" s="5">
        <f>INDEX(Product!$A$1:$G$49,MATCH(orders!$D496,Product!$A$1:$A$49,0),MATCH(orders!L$1,Product!$A$1:$G$1,0))</f>
        <v>15.85</v>
      </c>
      <c r="M496" s="5">
        <f t="shared" si="7"/>
        <v>31.7</v>
      </c>
      <c r="N496" t="str" cm="1">
        <f t="array" ref="N496">_xlfn.IFS(I496="Rob", "Robusta", I496="Exc", "Excelsa", I496="Ara", "Arabica", I496="Lib", "Liberica", TRUE, "")</f>
        <v>Liberica</v>
      </c>
      <c r="O496" t="str" cm="1">
        <f t="array" ref="O496">_xlfn.IFS(J496="M", "Medium", J496="L", "Light", J496="D", "Dark", TRUE, "")</f>
        <v>Light</v>
      </c>
      <c r="P496" t="str">
        <f>_xlfn.XLOOKUP(Table1[[#This Row],[Customer ID]], customers!$A$1:$A$1001, customers!$I$1:$I$1001,, 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INDEX(Product!$A$1:$G$49,MATCH(orders!$D497,Product!$A$1:$A$49,0),MATCH(orders!I$1,Product!$A$1:$G$1,0))</f>
        <v>Lib</v>
      </c>
      <c r="J497" t="str">
        <f>INDEX(Product!$A$1:$G$49,MATCH(orders!$D497,Product!$A$1:$A$49,0),MATCH(orders!J$1,Product!$A$1:$G$1,0))</f>
        <v>L</v>
      </c>
      <c r="K497" s="4">
        <f>INDEX(Product!$A$1:$G$49,MATCH(orders!$D497,Product!$A$1:$A$49,0),MATCH(orders!K$1,Product!$A$1:$G$1,0))</f>
        <v>1</v>
      </c>
      <c r="L497" s="5">
        <f>INDEX(Product!$A$1:$G$49,MATCH(orders!$D497,Product!$A$1:$A$49,0),MATCH(orders!L$1,Product!$A$1:$G$1,0))</f>
        <v>15.85</v>
      </c>
      <c r="M497" s="5">
        <f t="shared" si="7"/>
        <v>79.25</v>
      </c>
      <c r="N497" t="str" cm="1">
        <f t="array" ref="N497">_xlfn.IFS(I497="Rob", "Robusta", I497="Exc", "Excelsa", I497="Ara", "Arabica", I497="Lib", "Liberica", TRUE, "")</f>
        <v>Liberica</v>
      </c>
      <c r="O497" t="str" cm="1">
        <f t="array" ref="O497">_xlfn.IFS(J497="M", "Medium", J497="L", "Light", J497="D", "Dark", TRUE, "")</f>
        <v>Light</v>
      </c>
      <c r="P497" t="str">
        <f>_xlfn.XLOOKUP(Table1[[#This Row],[Customer ID]], customers!$A$1:$A$1001, customers!$I$1:$I$1001,, 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INDEX(Product!$A$1:$G$49,MATCH(orders!$D498,Product!$A$1:$A$49,0),MATCH(orders!I$1,Product!$A$1:$G$1,0))</f>
        <v>Exc</v>
      </c>
      <c r="J498" t="str">
        <f>INDEX(Product!$A$1:$G$49,MATCH(orders!$D498,Product!$A$1:$A$49,0),MATCH(orders!J$1,Product!$A$1:$G$1,0))</f>
        <v>D</v>
      </c>
      <c r="K498" s="4">
        <f>INDEX(Product!$A$1:$G$49,MATCH(orders!$D498,Product!$A$1:$A$49,0),MATCH(orders!K$1,Product!$A$1:$G$1,0))</f>
        <v>0.2</v>
      </c>
      <c r="L498" s="5">
        <f>INDEX(Product!$A$1:$G$49,MATCH(orders!$D498,Product!$A$1:$A$49,0),MATCH(orders!L$1,Product!$A$1:$G$1,0))</f>
        <v>3.645</v>
      </c>
      <c r="M498" s="5">
        <f t="shared" si="7"/>
        <v>10.935</v>
      </c>
      <c r="N498" t="str" cm="1">
        <f t="array" ref="N498">_xlfn.IFS(I498="Rob", "Robusta", I498="Exc", "Excelsa", I498="Ara", "Arabica", I498="Lib", "Liberica", TRUE, "")</f>
        <v>Excelsa</v>
      </c>
      <c r="O498" t="str" cm="1">
        <f t="array" ref="O498">_xlfn.IFS(J498="M", "Medium", J498="L", "Light", J498="D", "Dark", TRUE, "")</f>
        <v>Dark</v>
      </c>
      <c r="P498" t="str">
        <f>_xlfn.XLOOKUP(Table1[[#This Row],[Customer ID]], customers!$A$1:$A$1001, customers!$I$1:$I$1001,, 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INDEX(Product!$A$1:$G$49,MATCH(orders!$D499,Product!$A$1:$A$49,0),MATCH(orders!I$1,Product!$A$1:$G$1,0))</f>
        <v>Ara</v>
      </c>
      <c r="J499" t="str">
        <f>INDEX(Product!$A$1:$G$49,MATCH(orders!$D499,Product!$A$1:$A$49,0),MATCH(orders!J$1,Product!$A$1:$G$1,0))</f>
        <v>D</v>
      </c>
      <c r="K499" s="4">
        <f>INDEX(Product!$A$1:$G$49,MATCH(orders!$D499,Product!$A$1:$A$49,0),MATCH(orders!K$1,Product!$A$1:$G$1,0))</f>
        <v>1</v>
      </c>
      <c r="L499" s="5">
        <f>INDEX(Product!$A$1:$G$49,MATCH(orders!$D499,Product!$A$1:$A$49,0),MATCH(orders!L$1,Product!$A$1:$G$1,0))</f>
        <v>9.9499999999999993</v>
      </c>
      <c r="M499" s="5">
        <f t="shared" si="7"/>
        <v>39.799999999999997</v>
      </c>
      <c r="N499" t="str" cm="1">
        <f t="array" ref="N499">_xlfn.IFS(I499="Rob", "Robusta", I499="Exc", "Excelsa", I499="Ara", "Arabica", I499="Lib", "Liberica", TRUE, "")</f>
        <v>Arabica</v>
      </c>
      <c r="O499" t="str" cm="1">
        <f t="array" ref="O499">_xlfn.IFS(J499="M", "Medium", J499="L", "Light", J499="D", "Dark", TRUE, "")</f>
        <v>Dark</v>
      </c>
      <c r="P499" t="str">
        <f>_xlfn.XLOOKUP(Table1[[#This Row],[Customer ID]], customers!$A$1:$A$1001, customers!$I$1:$I$1001,, 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INDEX(Product!$A$1:$G$49,MATCH(orders!$D500,Product!$A$1:$A$49,0),MATCH(orders!I$1,Product!$A$1:$G$1,0))</f>
        <v>Rob</v>
      </c>
      <c r="J500" t="str">
        <f>INDEX(Product!$A$1:$G$49,MATCH(orders!$D500,Product!$A$1:$A$49,0),MATCH(orders!J$1,Product!$A$1:$G$1,0))</f>
        <v>M</v>
      </c>
      <c r="K500" s="4">
        <f>INDEX(Product!$A$1:$G$49,MATCH(orders!$D500,Product!$A$1:$A$49,0),MATCH(orders!K$1,Product!$A$1:$G$1,0))</f>
        <v>1</v>
      </c>
      <c r="L500" s="5">
        <f>INDEX(Product!$A$1:$G$49,MATCH(orders!$D500,Product!$A$1:$A$49,0),MATCH(orders!L$1,Product!$A$1:$G$1,0))</f>
        <v>9.9499999999999993</v>
      </c>
      <c r="M500" s="5">
        <f t="shared" si="7"/>
        <v>49.75</v>
      </c>
      <c r="N500" t="str" cm="1">
        <f t="array" ref="N500">_xlfn.IFS(I500="Rob", "Robusta", I500="Exc", "Excelsa", I500="Ara", "Arabica", I500="Lib", "Liberica", TRUE, "")</f>
        <v>Robusta</v>
      </c>
      <c r="O500" t="str" cm="1">
        <f t="array" ref="O500">_xlfn.IFS(J500="M", "Medium", J500="L", "Light", J500="D", "Dark", TRUE, "")</f>
        <v>Medium</v>
      </c>
      <c r="P500" t="str">
        <f>_xlfn.XLOOKUP(Table1[[#This Row],[Customer ID]], customers!$A$1:$A$1001, customers!$I$1:$I$1001,, 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INDEX(Product!$A$1:$G$49,MATCH(orders!$D501,Product!$A$1:$A$49,0),MATCH(orders!I$1,Product!$A$1:$G$1,0))</f>
        <v>Rob</v>
      </c>
      <c r="J501" t="str">
        <f>INDEX(Product!$A$1:$G$49,MATCH(orders!$D501,Product!$A$1:$A$49,0),MATCH(orders!J$1,Product!$A$1:$G$1,0))</f>
        <v>D</v>
      </c>
      <c r="K501" s="4">
        <f>INDEX(Product!$A$1:$G$49,MATCH(orders!$D501,Product!$A$1:$A$49,0),MATCH(orders!K$1,Product!$A$1:$G$1,0))</f>
        <v>0.2</v>
      </c>
      <c r="L501" s="5">
        <f>INDEX(Product!$A$1:$G$49,MATCH(orders!$D501,Product!$A$1:$A$49,0),MATCH(orders!L$1,Product!$A$1:$G$1,0))</f>
        <v>2.6849999999999996</v>
      </c>
      <c r="M501" s="5">
        <f t="shared" si="7"/>
        <v>8.0549999999999997</v>
      </c>
      <c r="N501" t="str" cm="1">
        <f t="array" ref="N501">_xlfn.IFS(I501="Rob", "Robusta", I501="Exc", "Excelsa", I501="Ara", "Arabica", I501="Lib", "Liberica", TRUE, "")</f>
        <v>Robusta</v>
      </c>
      <c r="O501" t="str" cm="1">
        <f t="array" ref="O501">_xlfn.IFS(J501="M", "Medium", J501="L", "Light", J501="D", "Dark", TRUE, "")</f>
        <v>Dark</v>
      </c>
      <c r="P501" t="str">
        <f>_xlfn.XLOOKUP(Table1[[#This Row],[Customer ID]], customers!$A$1:$A$1001, customers!$I$1:$I$1001,, 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INDEX(Product!$A$1:$G$49,MATCH(orders!$D502,Product!$A$1:$A$49,0),MATCH(orders!I$1,Product!$A$1:$G$1,0))</f>
        <v>Rob</v>
      </c>
      <c r="J502" t="str">
        <f>INDEX(Product!$A$1:$G$49,MATCH(orders!$D502,Product!$A$1:$A$49,0),MATCH(orders!J$1,Product!$A$1:$G$1,0))</f>
        <v>L</v>
      </c>
      <c r="K502" s="4">
        <f>INDEX(Product!$A$1:$G$49,MATCH(orders!$D502,Product!$A$1:$A$49,0),MATCH(orders!K$1,Product!$A$1:$G$1,0))</f>
        <v>1</v>
      </c>
      <c r="L502" s="5">
        <f>INDEX(Product!$A$1:$G$49,MATCH(orders!$D502,Product!$A$1:$A$49,0),MATCH(orders!L$1,Product!$A$1:$G$1,0))</f>
        <v>11.95</v>
      </c>
      <c r="M502" s="5">
        <f t="shared" si="7"/>
        <v>47.8</v>
      </c>
      <c r="N502" t="str" cm="1">
        <f t="array" ref="N502">_xlfn.IFS(I502="Rob", "Robusta", I502="Exc", "Excelsa", I502="Ara", "Arabica", I502="Lib", "Liberica", TRUE, "")</f>
        <v>Robusta</v>
      </c>
      <c r="O502" t="str" cm="1">
        <f t="array" ref="O502">_xlfn.IFS(J502="M", "Medium", J502="L", "Light", J502="D", "Dark", TRUE, "")</f>
        <v>Light</v>
      </c>
      <c r="P502" t="str">
        <f>_xlfn.XLOOKUP(Table1[[#This Row],[Customer ID]], customers!$A$1:$A$1001, customers!$I$1:$I$1001,, 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INDEX(Product!$A$1:$G$49,MATCH(orders!$D503,Product!$A$1:$A$49,0),MATCH(orders!I$1,Product!$A$1:$G$1,0))</f>
        <v>Rob</v>
      </c>
      <c r="J503" t="str">
        <f>INDEX(Product!$A$1:$G$49,MATCH(orders!$D503,Product!$A$1:$A$49,0),MATCH(orders!J$1,Product!$A$1:$G$1,0))</f>
        <v>M</v>
      </c>
      <c r="K503" s="4">
        <f>INDEX(Product!$A$1:$G$49,MATCH(orders!$D503,Product!$A$1:$A$49,0),MATCH(orders!K$1,Product!$A$1:$G$1,0))</f>
        <v>0.2</v>
      </c>
      <c r="L503" s="5">
        <f>INDEX(Product!$A$1:$G$49,MATCH(orders!$D503,Product!$A$1:$A$49,0),MATCH(orders!L$1,Product!$A$1:$G$1,0))</f>
        <v>2.9849999999999999</v>
      </c>
      <c r="M503" s="5">
        <f t="shared" si="7"/>
        <v>11.94</v>
      </c>
      <c r="N503" t="str" cm="1">
        <f t="array" ref="N503">_xlfn.IFS(I503="Rob", "Robusta", I503="Exc", "Excelsa", I503="Ara", "Arabica", I503="Lib", "Liberica", TRUE, "")</f>
        <v>Robusta</v>
      </c>
      <c r="O503" t="str" cm="1">
        <f t="array" ref="O503">_xlfn.IFS(J503="M", "Medium", J503="L", "Light", J503="D", "Dark", TRUE, "")</f>
        <v>Medium</v>
      </c>
      <c r="P503" t="str">
        <f>_xlfn.XLOOKUP(Table1[[#This Row],[Customer ID]], customers!$A$1:$A$1001, customers!$I$1:$I$1001,, 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INDEX(Product!$A$1:$G$49,MATCH(orders!$D504,Product!$A$1:$A$49,0),MATCH(orders!I$1,Product!$A$1:$G$1,0))</f>
        <v>Exc</v>
      </c>
      <c r="J504" t="str">
        <f>INDEX(Product!$A$1:$G$49,MATCH(orders!$D504,Product!$A$1:$A$49,0),MATCH(orders!J$1,Product!$A$1:$G$1,0))</f>
        <v>M</v>
      </c>
      <c r="K504" s="4">
        <f>INDEX(Product!$A$1:$G$49,MATCH(orders!$D504,Product!$A$1:$A$49,0),MATCH(orders!K$1,Product!$A$1:$G$1,0))</f>
        <v>0.2</v>
      </c>
      <c r="L504" s="5">
        <f>INDEX(Product!$A$1:$G$49,MATCH(orders!$D504,Product!$A$1:$A$49,0),MATCH(orders!L$1,Product!$A$1:$G$1,0))</f>
        <v>4.125</v>
      </c>
      <c r="M504" s="5">
        <f t="shared" si="7"/>
        <v>16.5</v>
      </c>
      <c r="N504" t="str" cm="1">
        <f t="array" ref="N504">_xlfn.IFS(I504="Rob", "Robusta", I504="Exc", "Excelsa", I504="Ara", "Arabica", I504="Lib", "Liberica", TRUE, "")</f>
        <v>Excelsa</v>
      </c>
      <c r="O504" t="str" cm="1">
        <f t="array" ref="O504">_xlfn.IFS(J504="M", "Medium", J504="L", "Light", J504="D", "Dark", TRUE, "")</f>
        <v>Medium</v>
      </c>
      <c r="P504" t="str">
        <f>_xlfn.XLOOKUP(Table1[[#This Row],[Customer ID]], customers!$A$1:$A$1001, customers!$I$1:$I$1001,, 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INDEX(Product!$A$1:$G$49,MATCH(orders!$D505,Product!$A$1:$A$49,0),MATCH(orders!I$1,Product!$A$1:$G$1,0))</f>
        <v>Lib</v>
      </c>
      <c r="J505" t="str">
        <f>INDEX(Product!$A$1:$G$49,MATCH(orders!$D505,Product!$A$1:$A$49,0),MATCH(orders!J$1,Product!$A$1:$G$1,0))</f>
        <v>D</v>
      </c>
      <c r="K505" s="4">
        <f>INDEX(Product!$A$1:$G$49,MATCH(orders!$D505,Product!$A$1:$A$49,0),MATCH(orders!K$1,Product!$A$1:$G$1,0))</f>
        <v>1</v>
      </c>
      <c r="L505" s="5">
        <f>INDEX(Product!$A$1:$G$49,MATCH(orders!$D505,Product!$A$1:$A$49,0),MATCH(orders!L$1,Product!$A$1:$G$1,0))</f>
        <v>12.95</v>
      </c>
      <c r="M505" s="5">
        <f t="shared" si="7"/>
        <v>51.8</v>
      </c>
      <c r="N505" t="str" cm="1">
        <f t="array" ref="N505">_xlfn.IFS(I505="Rob", "Robusta", I505="Exc", "Excelsa", I505="Ara", "Arabica", I505="Lib", "Liberica", TRUE, "")</f>
        <v>Liberica</v>
      </c>
      <c r="O505" t="str" cm="1">
        <f t="array" ref="O505">_xlfn.IFS(J505="M", "Medium", J505="L", "Light", J505="D", "Dark", TRUE, "")</f>
        <v>Dark</v>
      </c>
      <c r="P505" t="str">
        <f>_xlfn.XLOOKUP(Table1[[#This Row],[Customer ID]], customers!$A$1:$A$1001, customers!$I$1:$I$1001,, 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INDEX(Product!$A$1:$G$49,MATCH(orders!$D506,Product!$A$1:$A$49,0),MATCH(orders!I$1,Product!$A$1:$G$1,0))</f>
        <v>Lib</v>
      </c>
      <c r="J506" t="str">
        <f>INDEX(Product!$A$1:$G$49,MATCH(orders!$D506,Product!$A$1:$A$49,0),MATCH(orders!J$1,Product!$A$1:$G$1,0))</f>
        <v>L</v>
      </c>
      <c r="K506" s="4">
        <f>INDEX(Product!$A$1:$G$49,MATCH(orders!$D506,Product!$A$1:$A$49,0),MATCH(orders!K$1,Product!$A$1:$G$1,0))</f>
        <v>0.2</v>
      </c>
      <c r="L506" s="5">
        <f>INDEX(Product!$A$1:$G$49,MATCH(orders!$D506,Product!$A$1:$A$49,0),MATCH(orders!L$1,Product!$A$1:$G$1,0))</f>
        <v>4.7549999999999999</v>
      </c>
      <c r="M506" s="5">
        <f t="shared" si="7"/>
        <v>14.265000000000001</v>
      </c>
      <c r="N506" t="str" cm="1">
        <f t="array" ref="N506">_xlfn.IFS(I506="Rob", "Robusta", I506="Exc", "Excelsa", I506="Ara", "Arabica", I506="Lib", "Liberica", TRUE, "")</f>
        <v>Liberica</v>
      </c>
      <c r="O506" t="str" cm="1">
        <f t="array" ref="O506">_xlfn.IFS(J506="M", "Medium", J506="L", "Light", J506="D", "Dark", TRUE, "")</f>
        <v>Light</v>
      </c>
      <c r="P506" t="str">
        <f>_xlfn.XLOOKUP(Table1[[#This Row],[Customer ID]], customers!$A$1:$A$1001, customers!$I$1:$I$1001,, 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INDEX(Product!$A$1:$G$49,MATCH(orders!$D507,Product!$A$1:$A$49,0),MATCH(orders!I$1,Product!$A$1:$G$1,0))</f>
        <v>Lib</v>
      </c>
      <c r="J507" t="str">
        <f>INDEX(Product!$A$1:$G$49,MATCH(orders!$D507,Product!$A$1:$A$49,0),MATCH(orders!J$1,Product!$A$1:$G$1,0))</f>
        <v>M</v>
      </c>
      <c r="K507" s="4">
        <f>INDEX(Product!$A$1:$G$49,MATCH(orders!$D507,Product!$A$1:$A$49,0),MATCH(orders!K$1,Product!$A$1:$G$1,0))</f>
        <v>0.2</v>
      </c>
      <c r="L507" s="5">
        <f>INDEX(Product!$A$1:$G$49,MATCH(orders!$D507,Product!$A$1:$A$49,0),MATCH(orders!L$1,Product!$A$1:$G$1,0))</f>
        <v>4.3650000000000002</v>
      </c>
      <c r="M507" s="5">
        <f t="shared" si="7"/>
        <v>26.19</v>
      </c>
      <c r="N507" t="str" cm="1">
        <f t="array" ref="N507">_xlfn.IFS(I507="Rob", "Robusta", I507="Exc", "Excelsa", I507="Ara", "Arabica", I507="Lib", "Liberica", TRUE, "")</f>
        <v>Liberica</v>
      </c>
      <c r="O507" t="str" cm="1">
        <f t="array" ref="O507">_xlfn.IFS(J507="M", "Medium", J507="L", "Light", J507="D", "Dark", TRUE, "")</f>
        <v>Medium</v>
      </c>
      <c r="P507" t="str">
        <f>_xlfn.XLOOKUP(Table1[[#This Row],[Customer ID]], customers!$A$1:$A$1001, customers!$I$1:$I$1001,, 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INDEX(Product!$A$1:$G$49,MATCH(orders!$D508,Product!$A$1:$A$49,0),MATCH(orders!I$1,Product!$A$1:$G$1,0))</f>
        <v>Ara</v>
      </c>
      <c r="J508" t="str">
        <f>INDEX(Product!$A$1:$G$49,MATCH(orders!$D508,Product!$A$1:$A$49,0),MATCH(orders!J$1,Product!$A$1:$G$1,0))</f>
        <v>L</v>
      </c>
      <c r="K508" s="4">
        <f>INDEX(Product!$A$1:$G$49,MATCH(orders!$D508,Product!$A$1:$A$49,0),MATCH(orders!K$1,Product!$A$1:$G$1,0))</f>
        <v>1</v>
      </c>
      <c r="L508" s="5">
        <f>INDEX(Product!$A$1:$G$49,MATCH(orders!$D508,Product!$A$1:$A$49,0),MATCH(orders!L$1,Product!$A$1:$G$1,0))</f>
        <v>12.95</v>
      </c>
      <c r="M508" s="5">
        <f t="shared" si="7"/>
        <v>25.9</v>
      </c>
      <c r="N508" t="str" cm="1">
        <f t="array" ref="N508">_xlfn.IFS(I508="Rob", "Robusta", I508="Exc", "Excelsa", I508="Ara", "Arabica", I508="Lib", "Liberica", TRUE, "")</f>
        <v>Arabica</v>
      </c>
      <c r="O508" t="str" cm="1">
        <f t="array" ref="O508">_xlfn.IFS(J508="M", "Medium", J508="L", "Light", J508="D", "Dark", TRUE, "")</f>
        <v>Light</v>
      </c>
      <c r="P508" t="str">
        <f>_xlfn.XLOOKUP(Table1[[#This Row],[Customer ID]], customers!$A$1:$A$1001, customers!$I$1:$I$1001,, 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INDEX(Product!$A$1:$G$49,MATCH(orders!$D509,Product!$A$1:$A$49,0),MATCH(orders!I$1,Product!$A$1:$G$1,0))</f>
        <v>Ara</v>
      </c>
      <c r="J509" t="str">
        <f>INDEX(Product!$A$1:$G$49,MATCH(orders!$D509,Product!$A$1:$A$49,0),MATCH(orders!J$1,Product!$A$1:$G$1,0))</f>
        <v>L</v>
      </c>
      <c r="K509" s="4">
        <f>INDEX(Product!$A$1:$G$49,MATCH(orders!$D509,Product!$A$1:$A$49,0),MATCH(orders!K$1,Product!$A$1:$G$1,0))</f>
        <v>2.5</v>
      </c>
      <c r="L509" s="5">
        <f>INDEX(Product!$A$1:$G$49,MATCH(orders!$D509,Product!$A$1:$A$49,0),MATCH(orders!L$1,Product!$A$1:$G$1,0))</f>
        <v>29.784999999999997</v>
      </c>
      <c r="M509" s="5">
        <f t="shared" si="7"/>
        <v>89.35499999999999</v>
      </c>
      <c r="N509" t="str" cm="1">
        <f t="array" ref="N509">_xlfn.IFS(I509="Rob", "Robusta", I509="Exc", "Excelsa", I509="Ara", "Arabica", I509="Lib", "Liberica", TRUE, "")</f>
        <v>Arabica</v>
      </c>
      <c r="O509" t="str" cm="1">
        <f t="array" ref="O509">_xlfn.IFS(J509="M", "Medium", J509="L", "Light", J509="D", "Dark", TRUE, "")</f>
        <v>Light</v>
      </c>
      <c r="P509" t="str">
        <f>_xlfn.XLOOKUP(Table1[[#This Row],[Customer ID]], customers!$A$1:$A$1001, customers!$I$1:$I$1001,, 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INDEX(Product!$A$1:$G$49,MATCH(orders!$D510,Product!$A$1:$A$49,0),MATCH(orders!I$1,Product!$A$1:$G$1,0))</f>
        <v>Lib</v>
      </c>
      <c r="J510" t="str">
        <f>INDEX(Product!$A$1:$G$49,MATCH(orders!$D510,Product!$A$1:$A$49,0),MATCH(orders!J$1,Product!$A$1:$G$1,0))</f>
        <v>D</v>
      </c>
      <c r="K510" s="4">
        <f>INDEX(Product!$A$1:$G$49,MATCH(orders!$D510,Product!$A$1:$A$49,0),MATCH(orders!K$1,Product!$A$1:$G$1,0))</f>
        <v>0.5</v>
      </c>
      <c r="L510" s="5">
        <f>INDEX(Product!$A$1:$G$49,MATCH(orders!$D510,Product!$A$1:$A$49,0),MATCH(orders!L$1,Product!$A$1:$G$1,0))</f>
        <v>7.77</v>
      </c>
      <c r="M510" s="5">
        <f t="shared" si="7"/>
        <v>46.62</v>
      </c>
      <c r="N510" t="str" cm="1">
        <f t="array" ref="N510">_xlfn.IFS(I510="Rob", "Robusta", I510="Exc", "Excelsa", I510="Ara", "Arabica", I510="Lib", "Liberica", TRUE, "")</f>
        <v>Liberica</v>
      </c>
      <c r="O510" t="str" cm="1">
        <f t="array" ref="O510">_xlfn.IFS(J510="M", "Medium", J510="L", "Light", J510="D", "Dark", TRUE, "")</f>
        <v>Dark</v>
      </c>
      <c r="P510" t="str">
        <f>_xlfn.XLOOKUP(Table1[[#This Row],[Customer ID]], customers!$A$1:$A$1001, customers!$I$1:$I$1001,, 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INDEX(Product!$A$1:$G$49,MATCH(orders!$D511,Product!$A$1:$A$49,0),MATCH(orders!I$1,Product!$A$1:$G$1,0))</f>
        <v>Ara</v>
      </c>
      <c r="J511" t="str">
        <f>INDEX(Product!$A$1:$G$49,MATCH(orders!$D511,Product!$A$1:$A$49,0),MATCH(orders!J$1,Product!$A$1:$G$1,0))</f>
        <v>D</v>
      </c>
      <c r="K511" s="4">
        <f>INDEX(Product!$A$1:$G$49,MATCH(orders!$D511,Product!$A$1:$A$49,0),MATCH(orders!K$1,Product!$A$1:$G$1,0))</f>
        <v>1</v>
      </c>
      <c r="L511" s="5">
        <f>INDEX(Product!$A$1:$G$49,MATCH(orders!$D511,Product!$A$1:$A$49,0),MATCH(orders!L$1,Product!$A$1:$G$1,0))</f>
        <v>9.9499999999999993</v>
      </c>
      <c r="M511" s="5">
        <f t="shared" si="7"/>
        <v>29.849999999999998</v>
      </c>
      <c r="N511" t="str" cm="1">
        <f t="array" ref="N511">_xlfn.IFS(I511="Rob", "Robusta", I511="Exc", "Excelsa", I511="Ara", "Arabica", I511="Lib", "Liberica", TRUE, "")</f>
        <v>Arabica</v>
      </c>
      <c r="O511" t="str" cm="1">
        <f t="array" ref="O511">_xlfn.IFS(J511="M", "Medium", J511="L", "Light", J511="D", "Dark", TRUE, "")</f>
        <v>Dark</v>
      </c>
      <c r="P511" t="str">
        <f>_xlfn.XLOOKUP(Table1[[#This Row],[Customer ID]], customers!$A$1:$A$1001, customers!$I$1:$I$1001,, 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INDEX(Product!$A$1:$G$49,MATCH(orders!$D512,Product!$A$1:$A$49,0),MATCH(orders!I$1,Product!$A$1:$G$1,0))</f>
        <v>Rob</v>
      </c>
      <c r="J512" t="str">
        <f>INDEX(Product!$A$1:$G$49,MATCH(orders!$D512,Product!$A$1:$A$49,0),MATCH(orders!J$1,Product!$A$1:$G$1,0))</f>
        <v>L</v>
      </c>
      <c r="K512" s="4">
        <f>INDEX(Product!$A$1:$G$49,MATCH(orders!$D512,Product!$A$1:$A$49,0),MATCH(orders!K$1,Product!$A$1:$G$1,0))</f>
        <v>0.2</v>
      </c>
      <c r="L512" s="5">
        <f>INDEX(Product!$A$1:$G$49,MATCH(orders!$D512,Product!$A$1:$A$49,0),MATCH(orders!L$1,Product!$A$1:$G$1,0))</f>
        <v>3.5849999999999995</v>
      </c>
      <c r="M512" s="5">
        <f t="shared" si="7"/>
        <v>10.754999999999999</v>
      </c>
      <c r="N512" t="str" cm="1">
        <f t="array" ref="N512">_xlfn.IFS(I512="Rob", "Robusta", I512="Exc", "Excelsa", I512="Ara", "Arabica", I512="Lib", "Liberica", TRUE, "")</f>
        <v>Robusta</v>
      </c>
      <c r="O512" t="str" cm="1">
        <f t="array" ref="O512">_xlfn.IFS(J512="M", "Medium", J512="L", "Light", J512="D", "Dark", TRUE, "")</f>
        <v>Light</v>
      </c>
      <c r="P512" t="str">
        <f>_xlfn.XLOOKUP(Table1[[#This Row],[Customer ID]], customers!$A$1:$A$1001, customers!$I$1:$I$1001,, 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INDEX(Product!$A$1:$G$49,MATCH(orders!$D513,Product!$A$1:$A$49,0),MATCH(orders!I$1,Product!$A$1:$G$1,0))</f>
        <v>Ara</v>
      </c>
      <c r="J513" t="str">
        <f>INDEX(Product!$A$1:$G$49,MATCH(orders!$D513,Product!$A$1:$A$49,0),MATCH(orders!J$1,Product!$A$1:$G$1,0))</f>
        <v>M</v>
      </c>
      <c r="K513" s="4">
        <f>INDEX(Product!$A$1:$G$49,MATCH(orders!$D513,Product!$A$1:$A$49,0),MATCH(orders!K$1,Product!$A$1:$G$1,0))</f>
        <v>0.2</v>
      </c>
      <c r="L513" s="5">
        <f>INDEX(Product!$A$1:$G$49,MATCH(orders!$D513,Product!$A$1:$A$49,0),MATCH(orders!L$1,Product!$A$1:$G$1,0))</f>
        <v>3.375</v>
      </c>
      <c r="M513" s="5">
        <f t="shared" si="7"/>
        <v>13.5</v>
      </c>
      <c r="N513" t="str" cm="1">
        <f t="array" ref="N513">_xlfn.IFS(I513="Rob", "Robusta", I513="Exc", "Excelsa", I513="Ara", "Arabica", I513="Lib", "Liberica", TRUE, "")</f>
        <v>Arabica</v>
      </c>
      <c r="O513" t="str" cm="1">
        <f t="array" ref="O513">_xlfn.IFS(J513="M", "Medium", J513="L", "Light", J513="D", "Dark", TRUE, "")</f>
        <v>Medium</v>
      </c>
      <c r="P513" t="str">
        <f>_xlfn.XLOOKUP(Table1[[#This Row],[Customer ID]], customers!$A$1:$A$1001, customers!$I$1:$I$1001,, 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INDEX(Product!$A$1:$G$49,MATCH(orders!$D514,Product!$A$1:$A$49,0),MATCH(orders!I$1,Product!$A$1:$G$1,0))</f>
        <v>Lib</v>
      </c>
      <c r="J514" t="str">
        <f>INDEX(Product!$A$1:$G$49,MATCH(orders!$D514,Product!$A$1:$A$49,0),MATCH(orders!J$1,Product!$A$1:$G$1,0))</f>
        <v>L</v>
      </c>
      <c r="K514" s="4">
        <f>INDEX(Product!$A$1:$G$49,MATCH(orders!$D514,Product!$A$1:$A$49,0),MATCH(orders!K$1,Product!$A$1:$G$1,0))</f>
        <v>1</v>
      </c>
      <c r="L514" s="5">
        <f>INDEX(Product!$A$1:$G$49,MATCH(orders!$D514,Product!$A$1:$A$49,0),MATCH(orders!L$1,Product!$A$1:$G$1,0))</f>
        <v>15.85</v>
      </c>
      <c r="M514" s="5">
        <f t="shared" ref="M514:M577" si="8">L514*E514</f>
        <v>47.55</v>
      </c>
      <c r="N514" t="str" cm="1">
        <f t="array" ref="N514">_xlfn.IFS(I514="Rob", "Robusta", I514="Exc", "Excelsa", I514="Ara", "Arabica", I514="Lib", "Liberica", TRUE, "")</f>
        <v>Liberica</v>
      </c>
      <c r="O514" t="str" cm="1">
        <f t="array" ref="O514">_xlfn.IFS(J514="M", "Medium", J514="L", "Light", J514="D", "Dark", TRUE, "")</f>
        <v>Light</v>
      </c>
      <c r="P514" t="str">
        <f>_xlfn.XLOOKUP(Table1[[#This Row],[Customer ID]], customers!$A$1:$A$1001, customers!$I$1:$I$1001,, 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INDEX(Product!$A$1:$G$49,MATCH(orders!$D515,Product!$A$1:$A$49,0),MATCH(orders!I$1,Product!$A$1:$G$1,0))</f>
        <v>Lib</v>
      </c>
      <c r="J515" t="str">
        <f>INDEX(Product!$A$1:$G$49,MATCH(orders!$D515,Product!$A$1:$A$49,0),MATCH(orders!J$1,Product!$A$1:$G$1,0))</f>
        <v>L</v>
      </c>
      <c r="K515" s="4">
        <f>INDEX(Product!$A$1:$G$49,MATCH(orders!$D515,Product!$A$1:$A$49,0),MATCH(orders!K$1,Product!$A$1:$G$1,0))</f>
        <v>1</v>
      </c>
      <c r="L515" s="5">
        <f>INDEX(Product!$A$1:$G$49,MATCH(orders!$D515,Product!$A$1:$A$49,0),MATCH(orders!L$1,Product!$A$1:$G$1,0))</f>
        <v>15.85</v>
      </c>
      <c r="M515" s="5">
        <f t="shared" si="8"/>
        <v>79.25</v>
      </c>
      <c r="N515" t="str" cm="1">
        <f t="array" ref="N515">_xlfn.IFS(I515="Rob", "Robusta", I515="Exc", "Excelsa", I515="Ara", "Arabica", I515="Lib", "Liberica", TRUE, "")</f>
        <v>Liberica</v>
      </c>
      <c r="O515" t="str" cm="1">
        <f t="array" ref="O515">_xlfn.IFS(J515="M", "Medium", J515="L", "Light", J515="D", "Dark", TRUE, "")</f>
        <v>Light</v>
      </c>
      <c r="P515" t="str">
        <f>_xlfn.XLOOKUP(Table1[[#This Row],[Customer ID]], customers!$A$1:$A$1001, customers!$I$1:$I$1001,, 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INDEX(Product!$A$1:$G$49,MATCH(orders!$D516,Product!$A$1:$A$49,0),MATCH(orders!I$1,Product!$A$1:$G$1,0))</f>
        <v>Lib</v>
      </c>
      <c r="J516" t="str">
        <f>INDEX(Product!$A$1:$G$49,MATCH(orders!$D516,Product!$A$1:$A$49,0),MATCH(orders!J$1,Product!$A$1:$G$1,0))</f>
        <v>M</v>
      </c>
      <c r="K516" s="4">
        <f>INDEX(Product!$A$1:$G$49,MATCH(orders!$D516,Product!$A$1:$A$49,0),MATCH(orders!K$1,Product!$A$1:$G$1,0))</f>
        <v>0.2</v>
      </c>
      <c r="L516" s="5">
        <f>INDEX(Product!$A$1:$G$49,MATCH(orders!$D516,Product!$A$1:$A$49,0),MATCH(orders!L$1,Product!$A$1:$G$1,0))</f>
        <v>4.3650000000000002</v>
      </c>
      <c r="M516" s="5">
        <f t="shared" si="8"/>
        <v>26.19</v>
      </c>
      <c r="N516" t="str" cm="1">
        <f t="array" ref="N516">_xlfn.IFS(I516="Rob", "Robusta", I516="Exc", "Excelsa", I516="Ara", "Arabica", I516="Lib", "Liberica", TRUE, "")</f>
        <v>Liberica</v>
      </c>
      <c r="O516" t="str" cm="1">
        <f t="array" ref="O516">_xlfn.IFS(J516="M", "Medium", J516="L", "Light", J516="D", "Dark", TRUE, "")</f>
        <v>Medium</v>
      </c>
      <c r="P516" t="str">
        <f>_xlfn.XLOOKUP(Table1[[#This Row],[Customer ID]], customers!$A$1:$A$1001, customers!$I$1:$I$1001,, 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INDEX(Product!$A$1:$G$49,MATCH(orders!$D517,Product!$A$1:$A$49,0),MATCH(orders!I$1,Product!$A$1:$G$1,0))</f>
        <v>Rob</v>
      </c>
      <c r="J517" t="str">
        <f>INDEX(Product!$A$1:$G$49,MATCH(orders!$D517,Product!$A$1:$A$49,0),MATCH(orders!J$1,Product!$A$1:$G$1,0))</f>
        <v>L</v>
      </c>
      <c r="K517" s="4">
        <f>INDEX(Product!$A$1:$G$49,MATCH(orders!$D517,Product!$A$1:$A$49,0),MATCH(orders!K$1,Product!$A$1:$G$1,0))</f>
        <v>0.5</v>
      </c>
      <c r="L517" s="5">
        <f>INDEX(Product!$A$1:$G$49,MATCH(orders!$D517,Product!$A$1:$A$49,0),MATCH(orders!L$1,Product!$A$1:$G$1,0))</f>
        <v>7.169999999999999</v>
      </c>
      <c r="M517" s="5">
        <f t="shared" si="8"/>
        <v>21.509999999999998</v>
      </c>
      <c r="N517" t="str" cm="1">
        <f t="array" ref="N517">_xlfn.IFS(I517="Rob", "Robusta", I517="Exc", "Excelsa", I517="Ara", "Arabica", I517="Lib", "Liberica", TRUE, "")</f>
        <v>Robusta</v>
      </c>
      <c r="O517" t="str" cm="1">
        <f t="array" ref="O517">_xlfn.IFS(J517="M", "Medium", J517="L", "Light", J517="D", "Dark", TRUE, "")</f>
        <v>Light</v>
      </c>
      <c r="P517" t="str">
        <f>_xlfn.XLOOKUP(Table1[[#This Row],[Customer ID]], customers!$A$1:$A$1001, customers!$I$1:$I$1001,, 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INDEX(Product!$A$1:$G$49,MATCH(orders!$D518,Product!$A$1:$A$49,0),MATCH(orders!I$1,Product!$A$1:$G$1,0))</f>
        <v>Rob</v>
      </c>
      <c r="J518" t="str">
        <f>INDEX(Product!$A$1:$G$49,MATCH(orders!$D518,Product!$A$1:$A$49,0),MATCH(orders!J$1,Product!$A$1:$G$1,0))</f>
        <v>D</v>
      </c>
      <c r="K518" s="4">
        <f>INDEX(Product!$A$1:$G$49,MATCH(orders!$D518,Product!$A$1:$A$49,0),MATCH(orders!K$1,Product!$A$1:$G$1,0))</f>
        <v>2.5</v>
      </c>
      <c r="L518" s="5">
        <f>INDEX(Product!$A$1:$G$49,MATCH(orders!$D518,Product!$A$1:$A$49,0),MATCH(orders!L$1,Product!$A$1:$G$1,0))</f>
        <v>20.584999999999997</v>
      </c>
      <c r="M518" s="5">
        <f t="shared" si="8"/>
        <v>102.92499999999998</v>
      </c>
      <c r="N518" t="str" cm="1">
        <f t="array" ref="N518">_xlfn.IFS(I518="Rob", "Robusta", I518="Exc", "Excelsa", I518="Ara", "Arabica", I518="Lib", "Liberica", TRUE, "")</f>
        <v>Robusta</v>
      </c>
      <c r="O518" t="str" cm="1">
        <f t="array" ref="O518">_xlfn.IFS(J518="M", "Medium", J518="L", "Light", J518="D", "Dark", TRUE, "")</f>
        <v>Dark</v>
      </c>
      <c r="P518" t="str">
        <f>_xlfn.XLOOKUP(Table1[[#This Row],[Customer ID]], customers!$A$1:$A$1001, customers!$I$1:$I$1001,, 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INDEX(Product!$A$1:$G$49,MATCH(orders!$D519,Product!$A$1:$A$49,0),MATCH(orders!I$1,Product!$A$1:$G$1,0))</f>
        <v>Lib</v>
      </c>
      <c r="J519" t="str">
        <f>INDEX(Product!$A$1:$G$49,MATCH(orders!$D519,Product!$A$1:$A$49,0),MATCH(orders!J$1,Product!$A$1:$G$1,0))</f>
        <v>D</v>
      </c>
      <c r="K519" s="4">
        <f>INDEX(Product!$A$1:$G$49,MATCH(orders!$D519,Product!$A$1:$A$49,0),MATCH(orders!K$1,Product!$A$1:$G$1,0))</f>
        <v>0.2</v>
      </c>
      <c r="L519" s="5">
        <f>INDEX(Product!$A$1:$G$49,MATCH(orders!$D519,Product!$A$1:$A$49,0),MATCH(orders!L$1,Product!$A$1:$G$1,0))</f>
        <v>3.8849999999999998</v>
      </c>
      <c r="M519" s="5">
        <f t="shared" si="8"/>
        <v>7.77</v>
      </c>
      <c r="N519" t="str" cm="1">
        <f t="array" ref="N519">_xlfn.IFS(I519="Rob", "Robusta", I519="Exc", "Excelsa", I519="Ara", "Arabica", I519="Lib", "Liberica", TRUE, "")</f>
        <v>Liberica</v>
      </c>
      <c r="O519" t="str" cm="1">
        <f t="array" ref="O519">_xlfn.IFS(J519="M", "Medium", J519="L", "Light", J519="D", "Dark", TRUE, "")</f>
        <v>Dark</v>
      </c>
      <c r="P519" t="str">
        <f>_xlfn.XLOOKUP(Table1[[#This Row],[Customer ID]], customers!$A$1:$A$1001, customers!$I$1:$I$1001,, 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INDEX(Product!$A$1:$G$49,MATCH(orders!$D520,Product!$A$1:$A$49,0),MATCH(orders!I$1,Product!$A$1:$G$1,0))</f>
        <v>Exc</v>
      </c>
      <c r="J520" t="str">
        <f>INDEX(Product!$A$1:$G$49,MATCH(orders!$D520,Product!$A$1:$A$49,0),MATCH(orders!J$1,Product!$A$1:$G$1,0))</f>
        <v>D</v>
      </c>
      <c r="K520" s="4">
        <f>INDEX(Product!$A$1:$G$49,MATCH(orders!$D520,Product!$A$1:$A$49,0),MATCH(orders!K$1,Product!$A$1:$G$1,0))</f>
        <v>2.5</v>
      </c>
      <c r="L520" s="5">
        <f>INDEX(Product!$A$1:$G$49,MATCH(orders!$D520,Product!$A$1:$A$49,0),MATCH(orders!L$1,Product!$A$1:$G$1,0))</f>
        <v>27.945</v>
      </c>
      <c r="M520" s="5">
        <f t="shared" si="8"/>
        <v>139.72499999999999</v>
      </c>
      <c r="N520" t="str" cm="1">
        <f t="array" ref="N520">_xlfn.IFS(I520="Rob", "Robusta", I520="Exc", "Excelsa", I520="Ara", "Arabica", I520="Lib", "Liberica", TRUE, "")</f>
        <v>Excelsa</v>
      </c>
      <c r="O520" t="str" cm="1">
        <f t="array" ref="O520">_xlfn.IFS(J520="M", "Medium", J520="L", "Light", J520="D", "Dark", TRUE, "")</f>
        <v>Dark</v>
      </c>
      <c r="P520" t="str">
        <f>_xlfn.XLOOKUP(Table1[[#This Row],[Customer ID]], customers!$A$1:$A$1001, customers!$I$1:$I$1001,, 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INDEX(Product!$A$1:$G$49,MATCH(orders!$D521,Product!$A$1:$A$49,0),MATCH(orders!I$1,Product!$A$1:$G$1,0))</f>
        <v>Ara</v>
      </c>
      <c r="J521" t="str">
        <f>INDEX(Product!$A$1:$G$49,MATCH(orders!$D521,Product!$A$1:$A$49,0),MATCH(orders!J$1,Product!$A$1:$G$1,0))</f>
        <v>D</v>
      </c>
      <c r="K521" s="4">
        <f>INDEX(Product!$A$1:$G$49,MATCH(orders!$D521,Product!$A$1:$A$49,0),MATCH(orders!K$1,Product!$A$1:$G$1,0))</f>
        <v>0.5</v>
      </c>
      <c r="L521" s="5">
        <f>INDEX(Product!$A$1:$G$49,MATCH(orders!$D521,Product!$A$1:$A$49,0),MATCH(orders!L$1,Product!$A$1:$G$1,0))</f>
        <v>5.97</v>
      </c>
      <c r="M521" s="5">
        <f t="shared" si="8"/>
        <v>11.94</v>
      </c>
      <c r="N521" t="str" cm="1">
        <f t="array" ref="N521">_xlfn.IFS(I521="Rob", "Robusta", I521="Exc", "Excelsa", I521="Ara", "Arabica", I521="Lib", "Liberica", TRUE, "")</f>
        <v>Arabica</v>
      </c>
      <c r="O521" t="str" cm="1">
        <f t="array" ref="O521">_xlfn.IFS(J521="M", "Medium", J521="L", "Light", J521="D", "Dark", TRUE, "")</f>
        <v>Dark</v>
      </c>
      <c r="P521" t="str">
        <f>_xlfn.XLOOKUP(Table1[[#This Row],[Customer ID]], customers!$A$1:$A$1001, customers!$I$1:$I$1001,, 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INDEX(Product!$A$1:$G$49,MATCH(orders!$D522,Product!$A$1:$A$49,0),MATCH(orders!I$1,Product!$A$1:$G$1,0))</f>
        <v>Lib</v>
      </c>
      <c r="J522" t="str">
        <f>INDEX(Product!$A$1:$G$49,MATCH(orders!$D522,Product!$A$1:$A$49,0),MATCH(orders!J$1,Product!$A$1:$G$1,0))</f>
        <v>D</v>
      </c>
      <c r="K522" s="4">
        <f>INDEX(Product!$A$1:$G$49,MATCH(orders!$D522,Product!$A$1:$A$49,0),MATCH(orders!K$1,Product!$A$1:$G$1,0))</f>
        <v>0.2</v>
      </c>
      <c r="L522" s="5">
        <f>INDEX(Product!$A$1:$G$49,MATCH(orders!$D522,Product!$A$1:$A$49,0),MATCH(orders!L$1,Product!$A$1:$G$1,0))</f>
        <v>3.8849999999999998</v>
      </c>
      <c r="M522" s="5">
        <f t="shared" si="8"/>
        <v>3.8849999999999998</v>
      </c>
      <c r="N522" t="str" cm="1">
        <f t="array" ref="N522">_xlfn.IFS(I522="Rob", "Robusta", I522="Exc", "Excelsa", I522="Ara", "Arabica", I522="Lib", "Liberica", TRUE, "")</f>
        <v>Liberica</v>
      </c>
      <c r="O522" t="str" cm="1">
        <f t="array" ref="O522">_xlfn.IFS(J522="M", "Medium", J522="L", "Light", J522="D", "Dark", TRUE, "")</f>
        <v>Dark</v>
      </c>
      <c r="P522" t="str">
        <f>_xlfn.XLOOKUP(Table1[[#This Row],[Customer ID]], customers!$A$1:$A$1001, customers!$I$1:$I$1001,, 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INDEX(Product!$A$1:$G$49,MATCH(orders!$D523,Product!$A$1:$A$49,0),MATCH(orders!I$1,Product!$A$1:$G$1,0))</f>
        <v>Rob</v>
      </c>
      <c r="J523" t="str">
        <f>INDEX(Product!$A$1:$G$49,MATCH(orders!$D523,Product!$A$1:$A$49,0),MATCH(orders!J$1,Product!$A$1:$G$1,0))</f>
        <v>M</v>
      </c>
      <c r="K523" s="4">
        <f>INDEX(Product!$A$1:$G$49,MATCH(orders!$D523,Product!$A$1:$A$49,0),MATCH(orders!K$1,Product!$A$1:$G$1,0))</f>
        <v>1</v>
      </c>
      <c r="L523" s="5">
        <f>INDEX(Product!$A$1:$G$49,MATCH(orders!$D523,Product!$A$1:$A$49,0),MATCH(orders!L$1,Product!$A$1:$G$1,0))</f>
        <v>9.9499999999999993</v>
      </c>
      <c r="M523" s="5">
        <f t="shared" si="8"/>
        <v>39.799999999999997</v>
      </c>
      <c r="N523" t="str" cm="1">
        <f t="array" ref="N523">_xlfn.IFS(I523="Rob", "Robusta", I523="Exc", "Excelsa", I523="Ara", "Arabica", I523="Lib", "Liberica", TRUE, "")</f>
        <v>Robusta</v>
      </c>
      <c r="O523" t="str" cm="1">
        <f t="array" ref="O523">_xlfn.IFS(J523="M", "Medium", J523="L", "Light", J523="D", "Dark", TRUE, "")</f>
        <v>Medium</v>
      </c>
      <c r="P523" t="str">
        <f>_xlfn.XLOOKUP(Table1[[#This Row],[Customer ID]], customers!$A$1:$A$1001, customers!$I$1:$I$1001,, 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INDEX(Product!$A$1:$G$49,MATCH(orders!$D524,Product!$A$1:$A$49,0),MATCH(orders!I$1,Product!$A$1:$G$1,0))</f>
        <v>Rob</v>
      </c>
      <c r="J524" t="str">
        <f>INDEX(Product!$A$1:$G$49,MATCH(orders!$D524,Product!$A$1:$A$49,0),MATCH(orders!J$1,Product!$A$1:$G$1,0))</f>
        <v>M</v>
      </c>
      <c r="K524" s="4">
        <f>INDEX(Product!$A$1:$G$49,MATCH(orders!$D524,Product!$A$1:$A$49,0),MATCH(orders!K$1,Product!$A$1:$G$1,0))</f>
        <v>0.5</v>
      </c>
      <c r="L524" s="5">
        <f>INDEX(Product!$A$1:$G$49,MATCH(orders!$D524,Product!$A$1:$A$49,0),MATCH(orders!L$1,Product!$A$1:$G$1,0))</f>
        <v>5.97</v>
      </c>
      <c r="M524" s="5">
        <f t="shared" si="8"/>
        <v>29.849999999999998</v>
      </c>
      <c r="N524" t="str" cm="1">
        <f t="array" ref="N524">_xlfn.IFS(I524="Rob", "Robusta", I524="Exc", "Excelsa", I524="Ara", "Arabica", I524="Lib", "Liberica", TRUE, "")</f>
        <v>Robusta</v>
      </c>
      <c r="O524" t="str" cm="1">
        <f t="array" ref="O524">_xlfn.IFS(J524="M", "Medium", J524="L", "Light", J524="D", "Dark", TRUE, "")</f>
        <v>Medium</v>
      </c>
      <c r="P524" t="str">
        <f>_xlfn.XLOOKUP(Table1[[#This Row],[Customer ID]], customers!$A$1:$A$1001, customers!$I$1:$I$1001,, 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INDEX(Product!$A$1:$G$49,MATCH(orders!$D525,Product!$A$1:$A$49,0),MATCH(orders!I$1,Product!$A$1:$G$1,0))</f>
        <v>Lib</v>
      </c>
      <c r="J525" t="str">
        <f>INDEX(Product!$A$1:$G$49,MATCH(orders!$D525,Product!$A$1:$A$49,0),MATCH(orders!J$1,Product!$A$1:$G$1,0))</f>
        <v>D</v>
      </c>
      <c r="K525" s="4">
        <f>INDEX(Product!$A$1:$G$49,MATCH(orders!$D525,Product!$A$1:$A$49,0),MATCH(orders!K$1,Product!$A$1:$G$1,0))</f>
        <v>2.5</v>
      </c>
      <c r="L525" s="5">
        <f>INDEX(Product!$A$1:$G$49,MATCH(orders!$D525,Product!$A$1:$A$49,0),MATCH(orders!L$1,Product!$A$1:$G$1,0))</f>
        <v>29.784999999999997</v>
      </c>
      <c r="M525" s="5">
        <f t="shared" si="8"/>
        <v>29.784999999999997</v>
      </c>
      <c r="N525" t="str" cm="1">
        <f t="array" ref="N525">_xlfn.IFS(I525="Rob", "Robusta", I525="Exc", "Excelsa", I525="Ara", "Arabica", I525="Lib", "Liberica", TRUE, "")</f>
        <v>Liberica</v>
      </c>
      <c r="O525" t="str" cm="1">
        <f t="array" ref="O525">_xlfn.IFS(J525="M", "Medium", J525="L", "Light", J525="D", "Dark", TRUE, "")</f>
        <v>Dark</v>
      </c>
      <c r="P525" t="str">
        <f>_xlfn.XLOOKUP(Table1[[#This Row],[Customer ID]], customers!$A$1:$A$1001, customers!$I$1:$I$1001,, 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INDEX(Product!$A$1:$G$49,MATCH(orders!$D526,Product!$A$1:$A$49,0),MATCH(orders!I$1,Product!$A$1:$G$1,0))</f>
        <v>Lib</v>
      </c>
      <c r="J526" t="str">
        <f>INDEX(Product!$A$1:$G$49,MATCH(orders!$D526,Product!$A$1:$A$49,0),MATCH(orders!J$1,Product!$A$1:$G$1,0))</f>
        <v>L</v>
      </c>
      <c r="K526" s="4">
        <f>INDEX(Product!$A$1:$G$49,MATCH(orders!$D526,Product!$A$1:$A$49,0),MATCH(orders!K$1,Product!$A$1:$G$1,0))</f>
        <v>2.5</v>
      </c>
      <c r="L526" s="5">
        <f>INDEX(Product!$A$1:$G$49,MATCH(orders!$D526,Product!$A$1:$A$49,0),MATCH(orders!L$1,Product!$A$1:$G$1,0))</f>
        <v>36.454999999999998</v>
      </c>
      <c r="M526" s="5">
        <f t="shared" si="8"/>
        <v>72.91</v>
      </c>
      <c r="N526" t="str" cm="1">
        <f t="array" ref="N526">_xlfn.IFS(I526="Rob", "Robusta", I526="Exc", "Excelsa", I526="Ara", "Arabica", I526="Lib", "Liberica", TRUE, "")</f>
        <v>Liberica</v>
      </c>
      <c r="O526" t="str" cm="1">
        <f t="array" ref="O526">_xlfn.IFS(J526="M", "Medium", J526="L", "Light", J526="D", "Dark", TRUE, "")</f>
        <v>Light</v>
      </c>
      <c r="P526" t="str">
        <f>_xlfn.XLOOKUP(Table1[[#This Row],[Customer ID]], customers!$A$1:$A$1001, customers!$I$1:$I$1001,, 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INDEX(Product!$A$1:$G$49,MATCH(orders!$D527,Product!$A$1:$A$49,0),MATCH(orders!I$1,Product!$A$1:$G$1,0))</f>
        <v>Rob</v>
      </c>
      <c r="J527" t="str">
        <f>INDEX(Product!$A$1:$G$49,MATCH(orders!$D527,Product!$A$1:$A$49,0),MATCH(orders!J$1,Product!$A$1:$G$1,0))</f>
        <v>D</v>
      </c>
      <c r="K527" s="4">
        <f>INDEX(Product!$A$1:$G$49,MATCH(orders!$D527,Product!$A$1:$A$49,0),MATCH(orders!K$1,Product!$A$1:$G$1,0))</f>
        <v>0.2</v>
      </c>
      <c r="L527" s="5">
        <f>INDEX(Product!$A$1:$G$49,MATCH(orders!$D527,Product!$A$1:$A$49,0),MATCH(orders!L$1,Product!$A$1:$G$1,0))</f>
        <v>2.6849999999999996</v>
      </c>
      <c r="M527" s="5">
        <f t="shared" si="8"/>
        <v>13.424999999999997</v>
      </c>
      <c r="N527" t="str" cm="1">
        <f t="array" ref="N527">_xlfn.IFS(I527="Rob", "Robusta", I527="Exc", "Excelsa", I527="Ara", "Arabica", I527="Lib", "Liberica", TRUE, "")</f>
        <v>Robusta</v>
      </c>
      <c r="O527" t="str" cm="1">
        <f t="array" ref="O527">_xlfn.IFS(J527="M", "Medium", J527="L", "Light", J527="D", "Dark", TRUE, "")</f>
        <v>Dark</v>
      </c>
      <c r="P527" t="str">
        <f>_xlfn.XLOOKUP(Table1[[#This Row],[Customer ID]], customers!$A$1:$A$1001, customers!$I$1:$I$1001,, 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INDEX(Product!$A$1:$G$49,MATCH(orders!$D528,Product!$A$1:$A$49,0),MATCH(orders!I$1,Product!$A$1:$G$1,0))</f>
        <v>Exc</v>
      </c>
      <c r="J528" t="str">
        <f>INDEX(Product!$A$1:$G$49,MATCH(orders!$D528,Product!$A$1:$A$49,0),MATCH(orders!J$1,Product!$A$1:$G$1,0))</f>
        <v>M</v>
      </c>
      <c r="K528" s="4">
        <f>INDEX(Product!$A$1:$G$49,MATCH(orders!$D528,Product!$A$1:$A$49,0),MATCH(orders!K$1,Product!$A$1:$G$1,0))</f>
        <v>2.5</v>
      </c>
      <c r="L528" s="5">
        <f>INDEX(Product!$A$1:$G$49,MATCH(orders!$D528,Product!$A$1:$A$49,0),MATCH(orders!L$1,Product!$A$1:$G$1,0))</f>
        <v>31.624999999999996</v>
      </c>
      <c r="M528" s="5">
        <f t="shared" si="8"/>
        <v>126.49999999999999</v>
      </c>
      <c r="N528" t="str" cm="1">
        <f t="array" ref="N528">_xlfn.IFS(I528="Rob", "Robusta", I528="Exc", "Excelsa", I528="Ara", "Arabica", I528="Lib", "Liberica", TRUE, "")</f>
        <v>Excelsa</v>
      </c>
      <c r="O528" t="str" cm="1">
        <f t="array" ref="O528">_xlfn.IFS(J528="M", "Medium", J528="L", "Light", J528="D", "Dark", TRUE, "")</f>
        <v>Medium</v>
      </c>
      <c r="P528" t="str">
        <f>_xlfn.XLOOKUP(Table1[[#This Row],[Customer ID]], customers!$A$1:$A$1001, customers!$I$1:$I$1001,, 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INDEX(Product!$A$1:$G$49,MATCH(orders!$D529,Product!$A$1:$A$49,0),MATCH(orders!I$1,Product!$A$1:$G$1,0))</f>
        <v>Exc</v>
      </c>
      <c r="J529" t="str">
        <f>INDEX(Product!$A$1:$G$49,MATCH(orders!$D529,Product!$A$1:$A$49,0),MATCH(orders!J$1,Product!$A$1:$G$1,0))</f>
        <v>M</v>
      </c>
      <c r="K529" s="4">
        <f>INDEX(Product!$A$1:$G$49,MATCH(orders!$D529,Product!$A$1:$A$49,0),MATCH(orders!K$1,Product!$A$1:$G$1,0))</f>
        <v>0.5</v>
      </c>
      <c r="L529" s="5">
        <f>INDEX(Product!$A$1:$G$49,MATCH(orders!$D529,Product!$A$1:$A$49,0),MATCH(orders!L$1,Product!$A$1:$G$1,0))</f>
        <v>8.25</v>
      </c>
      <c r="M529" s="5">
        <f t="shared" si="8"/>
        <v>41.25</v>
      </c>
      <c r="N529" t="str" cm="1">
        <f t="array" ref="N529">_xlfn.IFS(I529="Rob", "Robusta", I529="Exc", "Excelsa", I529="Ara", "Arabica", I529="Lib", "Liberica", TRUE, "")</f>
        <v>Excelsa</v>
      </c>
      <c r="O529" t="str" cm="1">
        <f t="array" ref="O529">_xlfn.IFS(J529="M", "Medium", J529="L", "Light", J529="D", "Dark", TRUE, "")</f>
        <v>Medium</v>
      </c>
      <c r="P529" t="str">
        <f>_xlfn.XLOOKUP(Table1[[#This Row],[Customer ID]], customers!$A$1:$A$1001, customers!$I$1:$I$1001,, 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INDEX(Product!$A$1:$G$49,MATCH(orders!$D530,Product!$A$1:$A$49,0),MATCH(orders!I$1,Product!$A$1:$G$1,0))</f>
        <v>Exc</v>
      </c>
      <c r="J530" t="str">
        <f>INDEX(Product!$A$1:$G$49,MATCH(orders!$D530,Product!$A$1:$A$49,0),MATCH(orders!J$1,Product!$A$1:$G$1,0))</f>
        <v>L</v>
      </c>
      <c r="K530" s="4">
        <f>INDEX(Product!$A$1:$G$49,MATCH(orders!$D530,Product!$A$1:$A$49,0),MATCH(orders!K$1,Product!$A$1:$G$1,0))</f>
        <v>0.5</v>
      </c>
      <c r="L530" s="5">
        <f>INDEX(Product!$A$1:$G$49,MATCH(orders!$D530,Product!$A$1:$A$49,0),MATCH(orders!L$1,Product!$A$1:$G$1,0))</f>
        <v>8.91</v>
      </c>
      <c r="M530" s="5">
        <f t="shared" si="8"/>
        <v>53.46</v>
      </c>
      <c r="N530" t="str" cm="1">
        <f t="array" ref="N530">_xlfn.IFS(I530="Rob", "Robusta", I530="Exc", "Excelsa", I530="Ara", "Arabica", I530="Lib", "Liberica", TRUE, "")</f>
        <v>Excelsa</v>
      </c>
      <c r="O530" t="str" cm="1">
        <f t="array" ref="O530">_xlfn.IFS(J530="M", "Medium", J530="L", "Light", J530="D", "Dark", TRUE, "")</f>
        <v>Light</v>
      </c>
      <c r="P530" t="str">
        <f>_xlfn.XLOOKUP(Table1[[#This Row],[Customer ID]], customers!$A$1:$A$1001, customers!$I$1:$I$1001,, 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INDEX(Product!$A$1:$G$49,MATCH(orders!$D531,Product!$A$1:$A$49,0),MATCH(orders!I$1,Product!$A$1:$G$1,0))</f>
        <v>Rob</v>
      </c>
      <c r="J531" t="str">
        <f>INDEX(Product!$A$1:$G$49,MATCH(orders!$D531,Product!$A$1:$A$49,0),MATCH(orders!J$1,Product!$A$1:$G$1,0))</f>
        <v>M</v>
      </c>
      <c r="K531" s="4">
        <f>INDEX(Product!$A$1:$G$49,MATCH(orders!$D531,Product!$A$1:$A$49,0),MATCH(orders!K$1,Product!$A$1:$G$1,0))</f>
        <v>1</v>
      </c>
      <c r="L531" s="5">
        <f>INDEX(Product!$A$1:$G$49,MATCH(orders!$D531,Product!$A$1:$A$49,0),MATCH(orders!L$1,Product!$A$1:$G$1,0))</f>
        <v>9.9499999999999993</v>
      </c>
      <c r="M531" s="5">
        <f t="shared" si="8"/>
        <v>59.699999999999996</v>
      </c>
      <c r="N531" t="str" cm="1">
        <f t="array" ref="N531">_xlfn.IFS(I531="Rob", "Robusta", I531="Exc", "Excelsa", I531="Ara", "Arabica", I531="Lib", "Liberica", TRUE, "")</f>
        <v>Robusta</v>
      </c>
      <c r="O531" t="str" cm="1">
        <f t="array" ref="O531">_xlfn.IFS(J531="M", "Medium", J531="L", "Light", J531="D", "Dark", TRUE, "")</f>
        <v>Medium</v>
      </c>
      <c r="P531" t="str">
        <f>_xlfn.XLOOKUP(Table1[[#This Row],[Customer ID]], customers!$A$1:$A$1001, customers!$I$1:$I$1001,, 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INDEX(Product!$A$1:$G$49,MATCH(orders!$D532,Product!$A$1:$A$49,0),MATCH(orders!I$1,Product!$A$1:$G$1,0))</f>
        <v>Rob</v>
      </c>
      <c r="J532" t="str">
        <f>INDEX(Product!$A$1:$G$49,MATCH(orders!$D532,Product!$A$1:$A$49,0),MATCH(orders!J$1,Product!$A$1:$G$1,0))</f>
        <v>M</v>
      </c>
      <c r="K532" s="4">
        <f>INDEX(Product!$A$1:$G$49,MATCH(orders!$D532,Product!$A$1:$A$49,0),MATCH(orders!K$1,Product!$A$1:$G$1,0))</f>
        <v>1</v>
      </c>
      <c r="L532" s="5">
        <f>INDEX(Product!$A$1:$G$49,MATCH(orders!$D532,Product!$A$1:$A$49,0),MATCH(orders!L$1,Product!$A$1:$G$1,0))</f>
        <v>9.9499999999999993</v>
      </c>
      <c r="M532" s="5">
        <f t="shared" si="8"/>
        <v>59.699999999999996</v>
      </c>
      <c r="N532" t="str" cm="1">
        <f t="array" ref="N532">_xlfn.IFS(I532="Rob", "Robusta", I532="Exc", "Excelsa", I532="Ara", "Arabica", I532="Lib", "Liberica", TRUE, "")</f>
        <v>Robusta</v>
      </c>
      <c r="O532" t="str" cm="1">
        <f t="array" ref="O532">_xlfn.IFS(J532="M", "Medium", J532="L", "Light", J532="D", "Dark", TRUE, "")</f>
        <v>Medium</v>
      </c>
      <c r="P532" t="str">
        <f>_xlfn.XLOOKUP(Table1[[#This Row],[Customer ID]], customers!$A$1:$A$1001, customers!$I$1:$I$1001,, 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INDEX(Product!$A$1:$G$49,MATCH(orders!$D533,Product!$A$1:$A$49,0),MATCH(orders!I$1,Product!$A$1:$G$1,0))</f>
        <v>Rob</v>
      </c>
      <c r="J533" t="str">
        <f>INDEX(Product!$A$1:$G$49,MATCH(orders!$D533,Product!$A$1:$A$49,0),MATCH(orders!J$1,Product!$A$1:$G$1,0))</f>
        <v>D</v>
      </c>
      <c r="K533" s="4">
        <f>INDEX(Product!$A$1:$G$49,MATCH(orders!$D533,Product!$A$1:$A$49,0),MATCH(orders!K$1,Product!$A$1:$G$1,0))</f>
        <v>1</v>
      </c>
      <c r="L533" s="5">
        <f>INDEX(Product!$A$1:$G$49,MATCH(orders!$D533,Product!$A$1:$A$49,0),MATCH(orders!L$1,Product!$A$1:$G$1,0))</f>
        <v>8.9499999999999993</v>
      </c>
      <c r="M533" s="5">
        <f t="shared" si="8"/>
        <v>44.75</v>
      </c>
      <c r="N533" t="str" cm="1">
        <f t="array" ref="N533">_xlfn.IFS(I533="Rob", "Robusta", I533="Exc", "Excelsa", I533="Ara", "Arabica", I533="Lib", "Liberica", TRUE, "")</f>
        <v>Robusta</v>
      </c>
      <c r="O533" t="str" cm="1">
        <f t="array" ref="O533">_xlfn.IFS(J533="M", "Medium", J533="L", "Light", J533="D", "Dark", TRUE, "")</f>
        <v>Dark</v>
      </c>
      <c r="P533" t="str">
        <f>_xlfn.XLOOKUP(Table1[[#This Row],[Customer ID]], customers!$A$1:$A$1001, customers!$I$1:$I$1001,, 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INDEX(Product!$A$1:$G$49,MATCH(orders!$D534,Product!$A$1:$A$49,0),MATCH(orders!I$1,Product!$A$1:$G$1,0))</f>
        <v>Exc</v>
      </c>
      <c r="J534" t="str">
        <f>INDEX(Product!$A$1:$G$49,MATCH(orders!$D534,Product!$A$1:$A$49,0),MATCH(orders!J$1,Product!$A$1:$G$1,0))</f>
        <v>M</v>
      </c>
      <c r="K534" s="4">
        <f>INDEX(Product!$A$1:$G$49,MATCH(orders!$D534,Product!$A$1:$A$49,0),MATCH(orders!K$1,Product!$A$1:$G$1,0))</f>
        <v>0.5</v>
      </c>
      <c r="L534" s="5">
        <f>INDEX(Product!$A$1:$G$49,MATCH(orders!$D534,Product!$A$1:$A$49,0),MATCH(orders!L$1,Product!$A$1:$G$1,0))</f>
        <v>8.25</v>
      </c>
      <c r="M534" s="5">
        <f t="shared" si="8"/>
        <v>16.5</v>
      </c>
      <c r="N534" t="str" cm="1">
        <f t="array" ref="N534">_xlfn.IFS(I534="Rob", "Robusta", I534="Exc", "Excelsa", I534="Ara", "Arabica", I534="Lib", "Liberica", TRUE, "")</f>
        <v>Excelsa</v>
      </c>
      <c r="O534" t="str" cm="1">
        <f t="array" ref="O534">_xlfn.IFS(J534="M", "Medium", J534="L", "Light", J534="D", "Dark", TRUE, "")</f>
        <v>Medium</v>
      </c>
      <c r="P534" t="str">
        <f>_xlfn.XLOOKUP(Table1[[#This Row],[Customer ID]], customers!$A$1:$A$1001, customers!$I$1:$I$1001,, 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INDEX(Product!$A$1:$G$49,MATCH(orders!$D535,Product!$A$1:$A$49,0),MATCH(orders!I$1,Product!$A$1:$G$1,0))</f>
        <v>Rob</v>
      </c>
      <c r="J535" t="str">
        <f>INDEX(Product!$A$1:$G$49,MATCH(orders!$D535,Product!$A$1:$A$49,0),MATCH(orders!J$1,Product!$A$1:$G$1,0))</f>
        <v>D</v>
      </c>
      <c r="K535" s="4">
        <f>INDEX(Product!$A$1:$G$49,MATCH(orders!$D535,Product!$A$1:$A$49,0),MATCH(orders!K$1,Product!$A$1:$G$1,0))</f>
        <v>0.5</v>
      </c>
      <c r="L535" s="5">
        <f>INDEX(Product!$A$1:$G$49,MATCH(orders!$D535,Product!$A$1:$A$49,0),MATCH(orders!L$1,Product!$A$1:$G$1,0))</f>
        <v>5.3699999999999992</v>
      </c>
      <c r="M535" s="5">
        <f t="shared" si="8"/>
        <v>21.479999999999997</v>
      </c>
      <c r="N535" t="str" cm="1">
        <f t="array" ref="N535">_xlfn.IFS(I535="Rob", "Robusta", I535="Exc", "Excelsa", I535="Ara", "Arabica", I535="Lib", "Liberica", TRUE, "")</f>
        <v>Robusta</v>
      </c>
      <c r="O535" t="str" cm="1">
        <f t="array" ref="O535">_xlfn.IFS(J535="M", "Medium", J535="L", "Light", J535="D", "Dark", TRUE, "")</f>
        <v>Dark</v>
      </c>
      <c r="P535" t="str">
        <f>_xlfn.XLOOKUP(Table1[[#This Row],[Customer ID]], customers!$A$1:$A$1001, customers!$I$1:$I$1001,, 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INDEX(Product!$A$1:$G$49,MATCH(orders!$D536,Product!$A$1:$A$49,0),MATCH(orders!I$1,Product!$A$1:$G$1,0))</f>
        <v>Rob</v>
      </c>
      <c r="J536" t="str">
        <f>INDEX(Product!$A$1:$G$49,MATCH(orders!$D536,Product!$A$1:$A$49,0),MATCH(orders!J$1,Product!$A$1:$G$1,0))</f>
        <v>M</v>
      </c>
      <c r="K536" s="4">
        <f>INDEX(Product!$A$1:$G$49,MATCH(orders!$D536,Product!$A$1:$A$49,0),MATCH(orders!K$1,Product!$A$1:$G$1,0))</f>
        <v>2.5</v>
      </c>
      <c r="L536" s="5">
        <f>INDEX(Product!$A$1:$G$49,MATCH(orders!$D536,Product!$A$1:$A$49,0),MATCH(orders!L$1,Product!$A$1:$G$1,0))</f>
        <v>22.884999999999998</v>
      </c>
      <c r="M536" s="5">
        <f t="shared" si="8"/>
        <v>45.769999999999996</v>
      </c>
      <c r="N536" t="str" cm="1">
        <f t="array" ref="N536">_xlfn.IFS(I536="Rob", "Robusta", I536="Exc", "Excelsa", I536="Ara", "Arabica", I536="Lib", "Liberica", TRUE, "")</f>
        <v>Robusta</v>
      </c>
      <c r="O536" t="str" cm="1">
        <f t="array" ref="O536">_xlfn.IFS(J536="M", "Medium", J536="L", "Light", J536="D", "Dark", TRUE, "")</f>
        <v>Medium</v>
      </c>
      <c r="P536" t="str">
        <f>_xlfn.XLOOKUP(Table1[[#This Row],[Customer ID]], customers!$A$1:$A$1001, customers!$I$1:$I$1001,, 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INDEX(Product!$A$1:$G$49,MATCH(orders!$D537,Product!$A$1:$A$49,0),MATCH(orders!I$1,Product!$A$1:$G$1,0))</f>
        <v>Lib</v>
      </c>
      <c r="J537" t="str">
        <f>INDEX(Product!$A$1:$G$49,MATCH(orders!$D537,Product!$A$1:$A$49,0),MATCH(orders!J$1,Product!$A$1:$G$1,0))</f>
        <v>L</v>
      </c>
      <c r="K537" s="4">
        <f>INDEX(Product!$A$1:$G$49,MATCH(orders!$D537,Product!$A$1:$A$49,0),MATCH(orders!K$1,Product!$A$1:$G$1,0))</f>
        <v>0.2</v>
      </c>
      <c r="L537" s="5">
        <f>INDEX(Product!$A$1:$G$49,MATCH(orders!$D537,Product!$A$1:$A$49,0),MATCH(orders!L$1,Product!$A$1:$G$1,0))</f>
        <v>4.7549999999999999</v>
      </c>
      <c r="M537" s="5">
        <f t="shared" si="8"/>
        <v>9.51</v>
      </c>
      <c r="N537" t="str" cm="1">
        <f t="array" ref="N537">_xlfn.IFS(I537="Rob", "Robusta", I537="Exc", "Excelsa", I537="Ara", "Arabica", I537="Lib", "Liberica", TRUE, "")</f>
        <v>Liberica</v>
      </c>
      <c r="O537" t="str" cm="1">
        <f t="array" ref="O537">_xlfn.IFS(J537="M", "Medium", J537="L", "Light", J537="D", "Dark", TRUE, "")</f>
        <v>Light</v>
      </c>
      <c r="P537" t="str">
        <f>_xlfn.XLOOKUP(Table1[[#This Row],[Customer ID]], customers!$A$1:$A$1001, customers!$I$1:$I$1001,, 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INDEX(Product!$A$1:$G$49,MATCH(orders!$D538,Product!$A$1:$A$49,0),MATCH(orders!I$1,Product!$A$1:$G$1,0))</f>
        <v>Rob</v>
      </c>
      <c r="J538" t="str">
        <f>INDEX(Product!$A$1:$G$49,MATCH(orders!$D538,Product!$A$1:$A$49,0),MATCH(orders!J$1,Product!$A$1:$G$1,0))</f>
        <v>D</v>
      </c>
      <c r="K538" s="4">
        <f>INDEX(Product!$A$1:$G$49,MATCH(orders!$D538,Product!$A$1:$A$49,0),MATCH(orders!K$1,Product!$A$1:$G$1,0))</f>
        <v>0.2</v>
      </c>
      <c r="L538" s="5">
        <f>INDEX(Product!$A$1:$G$49,MATCH(orders!$D538,Product!$A$1:$A$49,0),MATCH(orders!L$1,Product!$A$1:$G$1,0))</f>
        <v>2.6849999999999996</v>
      </c>
      <c r="M538" s="5">
        <f t="shared" si="8"/>
        <v>8.0549999999999997</v>
      </c>
      <c r="N538" t="str" cm="1">
        <f t="array" ref="N538">_xlfn.IFS(I538="Rob", "Robusta", I538="Exc", "Excelsa", I538="Ara", "Arabica", I538="Lib", "Liberica", TRUE, "")</f>
        <v>Robusta</v>
      </c>
      <c r="O538" t="str" cm="1">
        <f t="array" ref="O538">_xlfn.IFS(J538="M", "Medium", J538="L", "Light", J538="D", "Dark", TRUE, "")</f>
        <v>Dark</v>
      </c>
      <c r="P538" t="str">
        <f>_xlfn.XLOOKUP(Table1[[#This Row],[Customer ID]], customers!$A$1:$A$1001, customers!$I$1:$I$1001,, 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INDEX(Product!$A$1:$G$49,MATCH(orders!$D539,Product!$A$1:$A$49,0),MATCH(orders!I$1,Product!$A$1:$G$1,0))</f>
        <v>Exc</v>
      </c>
      <c r="J539" t="str">
        <f>INDEX(Product!$A$1:$G$49,MATCH(orders!$D539,Product!$A$1:$A$49,0),MATCH(orders!J$1,Product!$A$1:$G$1,0))</f>
        <v>D</v>
      </c>
      <c r="K539" s="4">
        <f>INDEX(Product!$A$1:$G$49,MATCH(orders!$D539,Product!$A$1:$A$49,0),MATCH(orders!K$1,Product!$A$1:$G$1,0))</f>
        <v>2.5</v>
      </c>
      <c r="L539" s="5">
        <f>INDEX(Product!$A$1:$G$49,MATCH(orders!$D539,Product!$A$1:$A$49,0),MATCH(orders!L$1,Product!$A$1:$G$1,0))</f>
        <v>27.945</v>
      </c>
      <c r="M539" s="5">
        <f t="shared" si="8"/>
        <v>111.78</v>
      </c>
      <c r="N539" t="str" cm="1">
        <f t="array" ref="N539">_xlfn.IFS(I539="Rob", "Robusta", I539="Exc", "Excelsa", I539="Ara", "Arabica", I539="Lib", "Liberica", TRUE, "")</f>
        <v>Excelsa</v>
      </c>
      <c r="O539" t="str" cm="1">
        <f t="array" ref="O539">_xlfn.IFS(J539="M", "Medium", J539="L", "Light", J539="D", "Dark", TRUE, "")</f>
        <v>Dark</v>
      </c>
      <c r="P539" t="str">
        <f>_xlfn.XLOOKUP(Table1[[#This Row],[Customer ID]], customers!$A$1:$A$1001, customers!$I$1:$I$1001,, 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INDEX(Product!$A$1:$G$49,MATCH(orders!$D540,Product!$A$1:$A$49,0),MATCH(orders!I$1,Product!$A$1:$G$1,0))</f>
        <v>Rob</v>
      </c>
      <c r="J540" t="str">
        <f>INDEX(Product!$A$1:$G$49,MATCH(orders!$D540,Product!$A$1:$A$49,0),MATCH(orders!J$1,Product!$A$1:$G$1,0))</f>
        <v>D</v>
      </c>
      <c r="K540" s="4">
        <f>INDEX(Product!$A$1:$G$49,MATCH(orders!$D540,Product!$A$1:$A$49,0),MATCH(orders!K$1,Product!$A$1:$G$1,0))</f>
        <v>0.2</v>
      </c>
      <c r="L540" s="5">
        <f>INDEX(Product!$A$1:$G$49,MATCH(orders!$D540,Product!$A$1:$A$49,0),MATCH(orders!L$1,Product!$A$1:$G$1,0))</f>
        <v>2.6849999999999996</v>
      </c>
      <c r="M540" s="5">
        <f t="shared" si="8"/>
        <v>10.739999999999998</v>
      </c>
      <c r="N540" t="str" cm="1">
        <f t="array" ref="N540">_xlfn.IFS(I540="Rob", "Robusta", I540="Exc", "Excelsa", I540="Ara", "Arabica", I540="Lib", "Liberica", TRUE, "")</f>
        <v>Robusta</v>
      </c>
      <c r="O540" t="str" cm="1">
        <f t="array" ref="O540">_xlfn.IFS(J540="M", "Medium", J540="L", "Light", J540="D", "Dark", TRUE, "")</f>
        <v>Dark</v>
      </c>
      <c r="P540" t="str">
        <f>_xlfn.XLOOKUP(Table1[[#This Row],[Customer ID]], customers!$A$1:$A$1001, customers!$I$1:$I$1001,, 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INDEX(Product!$A$1:$G$49,MATCH(orders!$D541,Product!$A$1:$A$49,0),MATCH(orders!I$1,Product!$A$1:$G$1,0))</f>
        <v>Rob</v>
      </c>
      <c r="J541" t="str">
        <f>INDEX(Product!$A$1:$G$49,MATCH(orders!$D541,Product!$A$1:$A$49,0),MATCH(orders!J$1,Product!$A$1:$G$1,0))</f>
        <v>D</v>
      </c>
      <c r="K541" s="4">
        <f>INDEX(Product!$A$1:$G$49,MATCH(orders!$D541,Product!$A$1:$A$49,0),MATCH(orders!K$1,Product!$A$1:$G$1,0))</f>
        <v>0.5</v>
      </c>
      <c r="L541" s="5">
        <f>INDEX(Product!$A$1:$G$49,MATCH(orders!$D541,Product!$A$1:$A$49,0),MATCH(orders!L$1,Product!$A$1:$G$1,0))</f>
        <v>5.3699999999999992</v>
      </c>
      <c r="M541" s="5">
        <f t="shared" si="8"/>
        <v>26.849999999999994</v>
      </c>
      <c r="N541" t="str" cm="1">
        <f t="array" ref="N541">_xlfn.IFS(I541="Rob", "Robusta", I541="Exc", "Excelsa", I541="Ara", "Arabica", I541="Lib", "Liberica", TRUE, "")</f>
        <v>Robusta</v>
      </c>
      <c r="O541" t="str" cm="1">
        <f t="array" ref="O541">_xlfn.IFS(J541="M", "Medium", J541="L", "Light", J541="D", "Dark", TRUE, "")</f>
        <v>Dark</v>
      </c>
      <c r="P541" t="str">
        <f>_xlfn.XLOOKUP(Table1[[#This Row],[Customer ID]], customers!$A$1:$A$1001, customers!$I$1:$I$1001,, 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INDEX(Product!$A$1:$G$49,MATCH(orders!$D542,Product!$A$1:$A$49,0),MATCH(orders!I$1,Product!$A$1:$G$1,0))</f>
        <v>Lib</v>
      </c>
      <c r="J542" t="str">
        <f>INDEX(Product!$A$1:$G$49,MATCH(orders!$D542,Product!$A$1:$A$49,0),MATCH(orders!J$1,Product!$A$1:$G$1,0))</f>
        <v>L</v>
      </c>
      <c r="K542" s="4">
        <f>INDEX(Product!$A$1:$G$49,MATCH(orders!$D542,Product!$A$1:$A$49,0),MATCH(orders!K$1,Product!$A$1:$G$1,0))</f>
        <v>1</v>
      </c>
      <c r="L542" s="5">
        <f>INDEX(Product!$A$1:$G$49,MATCH(orders!$D542,Product!$A$1:$A$49,0),MATCH(orders!L$1,Product!$A$1:$G$1,0))</f>
        <v>15.85</v>
      </c>
      <c r="M542" s="5">
        <f t="shared" si="8"/>
        <v>63.4</v>
      </c>
      <c r="N542" t="str" cm="1">
        <f t="array" ref="N542">_xlfn.IFS(I542="Rob", "Robusta", I542="Exc", "Excelsa", I542="Ara", "Arabica", I542="Lib", "Liberica", TRUE, "")</f>
        <v>Liberica</v>
      </c>
      <c r="O542" t="str" cm="1">
        <f t="array" ref="O542">_xlfn.IFS(J542="M", "Medium", J542="L", "Light", J542="D", "Dark", TRUE, "")</f>
        <v>Light</v>
      </c>
      <c r="P542" t="str">
        <f>_xlfn.XLOOKUP(Table1[[#This Row],[Customer ID]], customers!$A$1:$A$1001, customers!$I$1:$I$1001,, 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INDEX(Product!$A$1:$G$49,MATCH(orders!$D543,Product!$A$1:$A$49,0),MATCH(orders!I$1,Product!$A$1:$G$1,0))</f>
        <v>Ara</v>
      </c>
      <c r="J543" t="str">
        <f>INDEX(Product!$A$1:$G$49,MATCH(orders!$D543,Product!$A$1:$A$49,0),MATCH(orders!J$1,Product!$A$1:$G$1,0))</f>
        <v>D</v>
      </c>
      <c r="K543" s="4">
        <f>INDEX(Product!$A$1:$G$49,MATCH(orders!$D543,Product!$A$1:$A$49,0),MATCH(orders!K$1,Product!$A$1:$G$1,0))</f>
        <v>2.5</v>
      </c>
      <c r="L543" s="5">
        <f>INDEX(Product!$A$1:$G$49,MATCH(orders!$D543,Product!$A$1:$A$49,0),MATCH(orders!L$1,Product!$A$1:$G$1,0))</f>
        <v>22.884999999999998</v>
      </c>
      <c r="M543" s="5">
        <f t="shared" si="8"/>
        <v>22.884999999999998</v>
      </c>
      <c r="N543" t="str" cm="1">
        <f t="array" ref="N543">_xlfn.IFS(I543="Rob", "Robusta", I543="Exc", "Excelsa", I543="Ara", "Arabica", I543="Lib", "Liberica", TRUE, "")</f>
        <v>Arabica</v>
      </c>
      <c r="O543" t="str" cm="1">
        <f t="array" ref="O543">_xlfn.IFS(J543="M", "Medium", J543="L", "Light", J543="D", "Dark", TRUE, "")</f>
        <v>Dark</v>
      </c>
      <c r="P543" t="str">
        <f>_xlfn.XLOOKUP(Table1[[#This Row],[Customer ID]], customers!$A$1:$A$1001, customers!$I$1:$I$1001,, 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INDEX(Product!$A$1:$G$49,MATCH(orders!$D544,Product!$A$1:$A$49,0),MATCH(orders!I$1,Product!$A$1:$G$1,0))</f>
        <v>Ara</v>
      </c>
      <c r="J544" t="str">
        <f>INDEX(Product!$A$1:$G$49,MATCH(orders!$D544,Product!$A$1:$A$49,0),MATCH(orders!J$1,Product!$A$1:$G$1,0))</f>
        <v>M</v>
      </c>
      <c r="K544" s="4">
        <f>INDEX(Product!$A$1:$G$49,MATCH(orders!$D544,Product!$A$1:$A$49,0),MATCH(orders!K$1,Product!$A$1:$G$1,0))</f>
        <v>2.5</v>
      </c>
      <c r="L544" s="5">
        <f>INDEX(Product!$A$1:$G$49,MATCH(orders!$D544,Product!$A$1:$A$49,0),MATCH(orders!L$1,Product!$A$1:$G$1,0))</f>
        <v>25.874999999999996</v>
      </c>
      <c r="M544" s="5">
        <f t="shared" si="8"/>
        <v>103.49999999999999</v>
      </c>
      <c r="N544" t="str" cm="1">
        <f t="array" ref="N544">_xlfn.IFS(I544="Rob", "Robusta", I544="Exc", "Excelsa", I544="Ara", "Arabica", I544="Lib", "Liberica", TRUE, "")</f>
        <v>Arabica</v>
      </c>
      <c r="O544" t="str" cm="1">
        <f t="array" ref="O544">_xlfn.IFS(J544="M", "Medium", J544="L", "Light", J544="D", "Dark", TRUE, "")</f>
        <v>Medium</v>
      </c>
      <c r="P544" t="str">
        <f>_xlfn.XLOOKUP(Table1[[#This Row],[Customer ID]], customers!$A$1:$A$1001, customers!$I$1:$I$1001,, 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INDEX(Product!$A$1:$G$49,MATCH(orders!$D545,Product!$A$1:$A$49,0),MATCH(orders!I$1,Product!$A$1:$G$1,0))</f>
        <v>Rob</v>
      </c>
      <c r="J545" t="str">
        <f>INDEX(Product!$A$1:$G$49,MATCH(orders!$D545,Product!$A$1:$A$49,0),MATCH(orders!J$1,Product!$A$1:$G$1,0))</f>
        <v>L</v>
      </c>
      <c r="K545" s="4">
        <f>INDEX(Product!$A$1:$G$49,MATCH(orders!$D545,Product!$A$1:$A$49,0),MATCH(orders!K$1,Product!$A$1:$G$1,0))</f>
        <v>2.5</v>
      </c>
      <c r="L545" s="5">
        <f>INDEX(Product!$A$1:$G$49,MATCH(orders!$D545,Product!$A$1:$A$49,0),MATCH(orders!L$1,Product!$A$1:$G$1,0))</f>
        <v>27.484999999999996</v>
      </c>
      <c r="M545" s="5">
        <f t="shared" si="8"/>
        <v>54.969999999999992</v>
      </c>
      <c r="N545" t="str" cm="1">
        <f t="array" ref="N545">_xlfn.IFS(I545="Rob", "Robusta", I545="Exc", "Excelsa", I545="Ara", "Arabica", I545="Lib", "Liberica", TRUE, "")</f>
        <v>Robusta</v>
      </c>
      <c r="O545" t="str" cm="1">
        <f t="array" ref="O545">_xlfn.IFS(J545="M", "Medium", J545="L", "Light", J545="D", "Dark", TRUE, "")</f>
        <v>Light</v>
      </c>
      <c r="P545" t="str">
        <f>_xlfn.XLOOKUP(Table1[[#This Row],[Customer ID]], customers!$A$1:$A$1001, customers!$I$1:$I$1001,, 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INDEX(Product!$A$1:$G$49,MATCH(orders!$D546,Product!$A$1:$A$49,0),MATCH(orders!I$1,Product!$A$1:$G$1,0))</f>
        <v>Ara</v>
      </c>
      <c r="J546" t="str">
        <f>INDEX(Product!$A$1:$G$49,MATCH(orders!$D546,Product!$A$1:$A$49,0),MATCH(orders!J$1,Product!$A$1:$G$1,0))</f>
        <v>L</v>
      </c>
      <c r="K546" s="4">
        <f>INDEX(Product!$A$1:$G$49,MATCH(orders!$D546,Product!$A$1:$A$49,0),MATCH(orders!K$1,Product!$A$1:$G$1,0))</f>
        <v>0.5</v>
      </c>
      <c r="L546" s="5">
        <f>INDEX(Product!$A$1:$G$49,MATCH(orders!$D546,Product!$A$1:$A$49,0),MATCH(orders!L$1,Product!$A$1:$G$1,0))</f>
        <v>7.77</v>
      </c>
      <c r="M546" s="5">
        <f t="shared" si="8"/>
        <v>15.54</v>
      </c>
      <c r="N546" t="str" cm="1">
        <f t="array" ref="N546">_xlfn.IFS(I546="Rob", "Robusta", I546="Exc", "Excelsa", I546="Ara", "Arabica", I546="Lib", "Liberica", TRUE, "")</f>
        <v>Arabica</v>
      </c>
      <c r="O546" t="str" cm="1">
        <f t="array" ref="O546">_xlfn.IFS(J546="M", "Medium", J546="L", "Light", J546="D", "Dark", TRUE, "")</f>
        <v>Light</v>
      </c>
      <c r="P546" t="str">
        <f>_xlfn.XLOOKUP(Table1[[#This Row],[Customer ID]], customers!$A$1:$A$1001, customers!$I$1:$I$1001,, 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INDEX(Product!$A$1:$G$49,MATCH(orders!$D547,Product!$A$1:$A$49,0),MATCH(orders!I$1,Product!$A$1:$G$1,0))</f>
        <v>Lib</v>
      </c>
      <c r="J547" t="str">
        <f>INDEX(Product!$A$1:$G$49,MATCH(orders!$D547,Product!$A$1:$A$49,0),MATCH(orders!J$1,Product!$A$1:$G$1,0))</f>
        <v>D</v>
      </c>
      <c r="K547" s="4">
        <f>INDEX(Product!$A$1:$G$49,MATCH(orders!$D547,Product!$A$1:$A$49,0),MATCH(orders!K$1,Product!$A$1:$G$1,0))</f>
        <v>0.2</v>
      </c>
      <c r="L547" s="5">
        <f>INDEX(Product!$A$1:$G$49,MATCH(orders!$D547,Product!$A$1:$A$49,0),MATCH(orders!L$1,Product!$A$1:$G$1,0))</f>
        <v>3.8849999999999998</v>
      </c>
      <c r="M547" s="5">
        <f t="shared" si="8"/>
        <v>15.54</v>
      </c>
      <c r="N547" t="str" cm="1">
        <f t="array" ref="N547">_xlfn.IFS(I547="Rob", "Robusta", I547="Exc", "Excelsa", I547="Ara", "Arabica", I547="Lib", "Liberica", TRUE, "")</f>
        <v>Liberica</v>
      </c>
      <c r="O547" t="str" cm="1">
        <f t="array" ref="O547">_xlfn.IFS(J547="M", "Medium", J547="L", "Light", J547="D", "Dark", TRUE, "")</f>
        <v>Dark</v>
      </c>
      <c r="P547" t="str">
        <f>_xlfn.XLOOKUP(Table1[[#This Row],[Customer ID]], customers!$A$1:$A$1001, customers!$I$1:$I$1001,, 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INDEX(Product!$A$1:$G$49,MATCH(orders!$D548,Product!$A$1:$A$49,0),MATCH(orders!I$1,Product!$A$1:$G$1,0))</f>
        <v>Exc</v>
      </c>
      <c r="J548" t="str">
        <f>INDEX(Product!$A$1:$G$49,MATCH(orders!$D548,Product!$A$1:$A$49,0),MATCH(orders!J$1,Product!$A$1:$G$1,0))</f>
        <v>D</v>
      </c>
      <c r="K548" s="4">
        <f>INDEX(Product!$A$1:$G$49,MATCH(orders!$D548,Product!$A$1:$A$49,0),MATCH(orders!K$1,Product!$A$1:$G$1,0))</f>
        <v>2.5</v>
      </c>
      <c r="L548" s="5">
        <f>INDEX(Product!$A$1:$G$49,MATCH(orders!$D548,Product!$A$1:$A$49,0),MATCH(orders!L$1,Product!$A$1:$G$1,0))</f>
        <v>27.945</v>
      </c>
      <c r="M548" s="5">
        <f t="shared" si="8"/>
        <v>83.835000000000008</v>
      </c>
      <c r="N548" t="str" cm="1">
        <f t="array" ref="N548">_xlfn.IFS(I548="Rob", "Robusta", I548="Exc", "Excelsa", I548="Ara", "Arabica", I548="Lib", "Liberica", TRUE, "")</f>
        <v>Excelsa</v>
      </c>
      <c r="O548" t="str" cm="1">
        <f t="array" ref="O548">_xlfn.IFS(J548="M", "Medium", J548="L", "Light", J548="D", "Dark", TRUE, "")</f>
        <v>Dark</v>
      </c>
      <c r="P548" t="str">
        <f>_xlfn.XLOOKUP(Table1[[#This Row],[Customer ID]], customers!$A$1:$A$1001, customers!$I$1:$I$1001,, 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INDEX(Product!$A$1:$G$49,MATCH(orders!$D549,Product!$A$1:$A$49,0),MATCH(orders!I$1,Product!$A$1:$G$1,0))</f>
        <v>Rob</v>
      </c>
      <c r="J549" t="str">
        <f>INDEX(Product!$A$1:$G$49,MATCH(orders!$D549,Product!$A$1:$A$49,0),MATCH(orders!J$1,Product!$A$1:$G$1,0))</f>
        <v>L</v>
      </c>
      <c r="K549" s="4">
        <f>INDEX(Product!$A$1:$G$49,MATCH(orders!$D549,Product!$A$1:$A$49,0),MATCH(orders!K$1,Product!$A$1:$G$1,0))</f>
        <v>0.2</v>
      </c>
      <c r="L549" s="5">
        <f>INDEX(Product!$A$1:$G$49,MATCH(orders!$D549,Product!$A$1:$A$49,0),MATCH(orders!L$1,Product!$A$1:$G$1,0))</f>
        <v>3.5849999999999995</v>
      </c>
      <c r="M549" s="5">
        <f t="shared" si="8"/>
        <v>10.754999999999999</v>
      </c>
      <c r="N549" t="str" cm="1">
        <f t="array" ref="N549">_xlfn.IFS(I549="Rob", "Robusta", I549="Exc", "Excelsa", I549="Ara", "Arabica", I549="Lib", "Liberica", TRUE, "")</f>
        <v>Robusta</v>
      </c>
      <c r="O549" t="str" cm="1">
        <f t="array" ref="O549">_xlfn.IFS(J549="M", "Medium", J549="L", "Light", J549="D", "Dark", TRUE, "")</f>
        <v>Light</v>
      </c>
      <c r="P549" t="str">
        <f>_xlfn.XLOOKUP(Table1[[#This Row],[Customer ID]], customers!$A$1:$A$1001, customers!$I$1:$I$1001,, 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INDEX(Product!$A$1:$G$49,MATCH(orders!$D550,Product!$A$1:$A$49,0),MATCH(orders!I$1,Product!$A$1:$G$1,0))</f>
        <v>Exc</v>
      </c>
      <c r="J550" t="str">
        <f>INDEX(Product!$A$1:$G$49,MATCH(orders!$D550,Product!$A$1:$A$49,0),MATCH(orders!J$1,Product!$A$1:$G$1,0))</f>
        <v>L</v>
      </c>
      <c r="K550" s="4">
        <f>INDEX(Product!$A$1:$G$49,MATCH(orders!$D550,Product!$A$1:$A$49,0),MATCH(orders!K$1,Product!$A$1:$G$1,0))</f>
        <v>0.2</v>
      </c>
      <c r="L550" s="5">
        <f>INDEX(Product!$A$1:$G$49,MATCH(orders!$D550,Product!$A$1:$A$49,0),MATCH(orders!L$1,Product!$A$1:$G$1,0))</f>
        <v>4.4550000000000001</v>
      </c>
      <c r="M550" s="5">
        <f t="shared" si="8"/>
        <v>13.365</v>
      </c>
      <c r="N550" t="str" cm="1">
        <f t="array" ref="N550">_xlfn.IFS(I550="Rob", "Robusta", I550="Exc", "Excelsa", I550="Ara", "Arabica", I550="Lib", "Liberica", TRUE, "")</f>
        <v>Excelsa</v>
      </c>
      <c r="O550" t="str" cm="1">
        <f t="array" ref="O550">_xlfn.IFS(J550="M", "Medium", J550="L", "Light", J550="D", "Dark", TRUE, "")</f>
        <v>Light</v>
      </c>
      <c r="P550" t="str">
        <f>_xlfn.XLOOKUP(Table1[[#This Row],[Customer ID]], customers!$A$1:$A$1001, customers!$I$1:$I$1001,, 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INDEX(Product!$A$1:$G$49,MATCH(orders!$D551,Product!$A$1:$A$49,0),MATCH(orders!I$1,Product!$A$1:$G$1,0))</f>
        <v>Exc</v>
      </c>
      <c r="J551" t="str">
        <f>INDEX(Product!$A$1:$G$49,MATCH(orders!$D551,Product!$A$1:$A$49,0),MATCH(orders!J$1,Product!$A$1:$G$1,0))</f>
        <v>L</v>
      </c>
      <c r="K551" s="4">
        <f>INDEX(Product!$A$1:$G$49,MATCH(orders!$D551,Product!$A$1:$A$49,0),MATCH(orders!K$1,Product!$A$1:$G$1,0))</f>
        <v>0.2</v>
      </c>
      <c r="L551" s="5">
        <f>INDEX(Product!$A$1:$G$49,MATCH(orders!$D551,Product!$A$1:$A$49,0),MATCH(orders!L$1,Product!$A$1:$G$1,0))</f>
        <v>4.4550000000000001</v>
      </c>
      <c r="M551" s="5">
        <f t="shared" si="8"/>
        <v>17.82</v>
      </c>
      <c r="N551" t="str" cm="1">
        <f t="array" ref="N551">_xlfn.IFS(I551="Rob", "Robusta", I551="Exc", "Excelsa", I551="Ara", "Arabica", I551="Lib", "Liberica", TRUE, "")</f>
        <v>Excelsa</v>
      </c>
      <c r="O551" t="str" cm="1">
        <f t="array" ref="O551">_xlfn.IFS(J551="M", "Medium", J551="L", "Light", J551="D", "Dark", TRUE, "")</f>
        <v>Light</v>
      </c>
      <c r="P551" t="str">
        <f>_xlfn.XLOOKUP(Table1[[#This Row],[Customer ID]], customers!$A$1:$A$1001, customers!$I$1:$I$1001,, 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INDEX(Product!$A$1:$G$49,MATCH(orders!$D552,Product!$A$1:$A$49,0),MATCH(orders!I$1,Product!$A$1:$G$1,0))</f>
        <v>Lib</v>
      </c>
      <c r="J552" t="str">
        <f>INDEX(Product!$A$1:$G$49,MATCH(orders!$D552,Product!$A$1:$A$49,0),MATCH(orders!J$1,Product!$A$1:$G$1,0))</f>
        <v>D</v>
      </c>
      <c r="K552" s="4">
        <f>INDEX(Product!$A$1:$G$49,MATCH(orders!$D552,Product!$A$1:$A$49,0),MATCH(orders!K$1,Product!$A$1:$G$1,0))</f>
        <v>0.2</v>
      </c>
      <c r="L552" s="5">
        <f>INDEX(Product!$A$1:$G$49,MATCH(orders!$D552,Product!$A$1:$A$49,0),MATCH(orders!L$1,Product!$A$1:$G$1,0))</f>
        <v>3.8849999999999998</v>
      </c>
      <c r="M552" s="5">
        <f t="shared" si="8"/>
        <v>23.31</v>
      </c>
      <c r="N552" t="str" cm="1">
        <f t="array" ref="N552">_xlfn.IFS(I552="Rob", "Robusta", I552="Exc", "Excelsa", I552="Ara", "Arabica", I552="Lib", "Liberica", TRUE, "")</f>
        <v>Liberica</v>
      </c>
      <c r="O552" t="str" cm="1">
        <f t="array" ref="O552">_xlfn.IFS(J552="M", "Medium", J552="L", "Light", J552="D", "Dark", TRUE, "")</f>
        <v>Dark</v>
      </c>
      <c r="P552" t="str">
        <f>_xlfn.XLOOKUP(Table1[[#This Row],[Customer ID]], customers!$A$1:$A$1001, customers!$I$1:$I$1001,, 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INDEX(Product!$A$1:$G$49,MATCH(orders!$D553,Product!$A$1:$A$49,0),MATCH(orders!I$1,Product!$A$1:$G$1,0))</f>
        <v>Exc</v>
      </c>
      <c r="J553" t="str">
        <f>INDEX(Product!$A$1:$G$49,MATCH(orders!$D553,Product!$A$1:$A$49,0),MATCH(orders!J$1,Product!$A$1:$G$1,0))</f>
        <v>D</v>
      </c>
      <c r="K553" s="4">
        <f>INDEX(Product!$A$1:$G$49,MATCH(orders!$D553,Product!$A$1:$A$49,0),MATCH(orders!K$1,Product!$A$1:$G$1,0))</f>
        <v>0.2</v>
      </c>
      <c r="L553" s="5">
        <f>INDEX(Product!$A$1:$G$49,MATCH(orders!$D553,Product!$A$1:$A$49,0),MATCH(orders!L$1,Product!$A$1:$G$1,0))</f>
        <v>3.645</v>
      </c>
      <c r="M553" s="5">
        <f t="shared" si="8"/>
        <v>7.29</v>
      </c>
      <c r="N553" t="str" cm="1">
        <f t="array" ref="N553">_xlfn.IFS(I553="Rob", "Robusta", I553="Exc", "Excelsa", I553="Ara", "Arabica", I553="Lib", "Liberica", TRUE, "")</f>
        <v>Excelsa</v>
      </c>
      <c r="O553" t="str" cm="1">
        <f t="array" ref="O553">_xlfn.IFS(J553="M", "Medium", J553="L", "Light", J553="D", "Dark", TRUE, "")</f>
        <v>Dark</v>
      </c>
      <c r="P553" t="str">
        <f>_xlfn.XLOOKUP(Table1[[#This Row],[Customer ID]], customers!$A$1:$A$1001, customers!$I$1:$I$1001,, 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INDEX(Product!$A$1:$G$49,MATCH(orders!$D554,Product!$A$1:$A$49,0),MATCH(orders!I$1,Product!$A$1:$G$1,0))</f>
        <v>Exc</v>
      </c>
      <c r="J554" t="str">
        <f>INDEX(Product!$A$1:$G$49,MATCH(orders!$D554,Product!$A$1:$A$49,0),MATCH(orders!J$1,Product!$A$1:$G$1,0))</f>
        <v>L</v>
      </c>
      <c r="K554" s="4">
        <f>INDEX(Product!$A$1:$G$49,MATCH(orders!$D554,Product!$A$1:$A$49,0),MATCH(orders!K$1,Product!$A$1:$G$1,0))</f>
        <v>0.2</v>
      </c>
      <c r="L554" s="5">
        <f>INDEX(Product!$A$1:$G$49,MATCH(orders!$D554,Product!$A$1:$A$49,0),MATCH(orders!L$1,Product!$A$1:$G$1,0))</f>
        <v>4.4550000000000001</v>
      </c>
      <c r="M554" s="5">
        <f t="shared" si="8"/>
        <v>17.82</v>
      </c>
      <c r="N554" t="str" cm="1">
        <f t="array" ref="N554">_xlfn.IFS(I554="Rob", "Robusta", I554="Exc", "Excelsa", I554="Ara", "Arabica", I554="Lib", "Liberica", TRUE, "")</f>
        <v>Excelsa</v>
      </c>
      <c r="O554" t="str" cm="1">
        <f t="array" ref="O554">_xlfn.IFS(J554="M", "Medium", J554="L", "Light", J554="D", "Dark", TRUE, "")</f>
        <v>Light</v>
      </c>
      <c r="P554" t="str">
        <f>_xlfn.XLOOKUP(Table1[[#This Row],[Customer ID]], customers!$A$1:$A$1001, customers!$I$1:$I$1001,, 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INDEX(Product!$A$1:$G$49,MATCH(orders!$D555,Product!$A$1:$A$49,0),MATCH(orders!I$1,Product!$A$1:$G$1,0))</f>
        <v>Exc</v>
      </c>
      <c r="J555" t="str">
        <f>INDEX(Product!$A$1:$G$49,MATCH(orders!$D555,Product!$A$1:$A$49,0),MATCH(orders!J$1,Product!$A$1:$G$1,0))</f>
        <v>M</v>
      </c>
      <c r="K555" s="4">
        <f>INDEX(Product!$A$1:$G$49,MATCH(orders!$D555,Product!$A$1:$A$49,0),MATCH(orders!K$1,Product!$A$1:$G$1,0))</f>
        <v>1</v>
      </c>
      <c r="L555" s="5">
        <f>INDEX(Product!$A$1:$G$49,MATCH(orders!$D555,Product!$A$1:$A$49,0),MATCH(orders!L$1,Product!$A$1:$G$1,0))</f>
        <v>13.75</v>
      </c>
      <c r="M555" s="5">
        <f t="shared" si="8"/>
        <v>68.75</v>
      </c>
      <c r="N555" t="str" cm="1">
        <f t="array" ref="N555">_xlfn.IFS(I555="Rob", "Robusta", I555="Exc", "Excelsa", I555="Ara", "Arabica", I555="Lib", "Liberica", TRUE, "")</f>
        <v>Excelsa</v>
      </c>
      <c r="O555" t="str" cm="1">
        <f t="array" ref="O555">_xlfn.IFS(J555="M", "Medium", J555="L", "Light", J555="D", "Dark", TRUE, "")</f>
        <v>Medium</v>
      </c>
      <c r="P555" t="str">
        <f>_xlfn.XLOOKUP(Table1[[#This Row],[Customer ID]], customers!$A$1:$A$1001, customers!$I$1:$I$1001,, 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INDEX(Product!$A$1:$G$49,MATCH(orders!$D556,Product!$A$1:$A$49,0),MATCH(orders!I$1,Product!$A$1:$G$1,0))</f>
        <v>Rob</v>
      </c>
      <c r="J556" t="str">
        <f>INDEX(Product!$A$1:$G$49,MATCH(orders!$D556,Product!$A$1:$A$49,0),MATCH(orders!J$1,Product!$A$1:$G$1,0))</f>
        <v>L</v>
      </c>
      <c r="K556" s="4">
        <f>INDEX(Product!$A$1:$G$49,MATCH(orders!$D556,Product!$A$1:$A$49,0),MATCH(orders!K$1,Product!$A$1:$G$1,0))</f>
        <v>2.5</v>
      </c>
      <c r="L556" s="5">
        <f>INDEX(Product!$A$1:$G$49,MATCH(orders!$D556,Product!$A$1:$A$49,0),MATCH(orders!L$1,Product!$A$1:$G$1,0))</f>
        <v>27.484999999999996</v>
      </c>
      <c r="M556" s="5">
        <f t="shared" si="8"/>
        <v>54.969999999999992</v>
      </c>
      <c r="N556" t="str" cm="1">
        <f t="array" ref="N556">_xlfn.IFS(I556="Rob", "Robusta", I556="Exc", "Excelsa", I556="Ara", "Arabica", I556="Lib", "Liberica", TRUE, "")</f>
        <v>Robusta</v>
      </c>
      <c r="O556" t="str" cm="1">
        <f t="array" ref="O556">_xlfn.IFS(J556="M", "Medium", J556="L", "Light", J556="D", "Dark", TRUE, "")</f>
        <v>Light</v>
      </c>
      <c r="P556" t="str">
        <f>_xlfn.XLOOKUP(Table1[[#This Row],[Customer ID]], customers!$A$1:$A$1001, customers!$I$1:$I$1001,, 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INDEX(Product!$A$1:$G$49,MATCH(orders!$D557,Product!$A$1:$A$49,0),MATCH(orders!I$1,Product!$A$1:$G$1,0))</f>
        <v>Exc</v>
      </c>
      <c r="J557" t="str">
        <f>INDEX(Product!$A$1:$G$49,MATCH(orders!$D557,Product!$A$1:$A$49,0),MATCH(orders!J$1,Product!$A$1:$G$1,0))</f>
        <v>M</v>
      </c>
      <c r="K557" s="4">
        <f>INDEX(Product!$A$1:$G$49,MATCH(orders!$D557,Product!$A$1:$A$49,0),MATCH(orders!K$1,Product!$A$1:$G$1,0))</f>
        <v>1</v>
      </c>
      <c r="L557" s="5">
        <f>INDEX(Product!$A$1:$G$49,MATCH(orders!$D557,Product!$A$1:$A$49,0),MATCH(orders!L$1,Product!$A$1:$G$1,0))</f>
        <v>13.75</v>
      </c>
      <c r="M557" s="5">
        <f t="shared" si="8"/>
        <v>82.5</v>
      </c>
      <c r="N557" t="str" cm="1">
        <f t="array" ref="N557">_xlfn.IFS(I557="Rob", "Robusta", I557="Exc", "Excelsa", I557="Ara", "Arabica", I557="Lib", "Liberica", TRUE, "")</f>
        <v>Excelsa</v>
      </c>
      <c r="O557" t="str" cm="1">
        <f t="array" ref="O557">_xlfn.IFS(J557="M", "Medium", J557="L", "Light", J557="D", "Dark", TRUE, "")</f>
        <v>Medium</v>
      </c>
      <c r="P557" t="str">
        <f>_xlfn.XLOOKUP(Table1[[#This Row],[Customer ID]], customers!$A$1:$A$1001, customers!$I$1:$I$1001,, 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INDEX(Product!$A$1:$G$49,MATCH(orders!$D558,Product!$A$1:$A$49,0),MATCH(orders!I$1,Product!$A$1:$G$1,0))</f>
        <v>Lib</v>
      </c>
      <c r="J558" t="str">
        <f>INDEX(Product!$A$1:$G$49,MATCH(orders!$D558,Product!$A$1:$A$49,0),MATCH(orders!J$1,Product!$A$1:$G$1,0))</f>
        <v>M</v>
      </c>
      <c r="K558" s="4">
        <f>INDEX(Product!$A$1:$G$49,MATCH(orders!$D558,Product!$A$1:$A$49,0),MATCH(orders!K$1,Product!$A$1:$G$1,0))</f>
        <v>0.2</v>
      </c>
      <c r="L558" s="5">
        <f>INDEX(Product!$A$1:$G$49,MATCH(orders!$D558,Product!$A$1:$A$49,0),MATCH(orders!L$1,Product!$A$1:$G$1,0))</f>
        <v>4.3650000000000002</v>
      </c>
      <c r="M558" s="5">
        <f t="shared" si="8"/>
        <v>8.73</v>
      </c>
      <c r="N558" t="str" cm="1">
        <f t="array" ref="N558">_xlfn.IFS(I558="Rob", "Robusta", I558="Exc", "Excelsa", I558="Ara", "Arabica", I558="Lib", "Liberica", TRUE, "")</f>
        <v>Liberica</v>
      </c>
      <c r="O558" t="str" cm="1">
        <f t="array" ref="O558">_xlfn.IFS(J558="M", "Medium", J558="L", "Light", J558="D", "Dark", TRUE, "")</f>
        <v>Medium</v>
      </c>
      <c r="P558" t="str">
        <f>_xlfn.XLOOKUP(Table1[[#This Row],[Customer ID]], customers!$A$1:$A$1001, customers!$I$1:$I$1001,, 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INDEX(Product!$A$1:$G$49,MATCH(orders!$D559,Product!$A$1:$A$49,0),MATCH(orders!I$1,Product!$A$1:$G$1,0))</f>
        <v>Exc</v>
      </c>
      <c r="J559" t="str">
        <f>INDEX(Product!$A$1:$G$49,MATCH(orders!$D559,Product!$A$1:$A$49,0),MATCH(orders!J$1,Product!$A$1:$G$1,0))</f>
        <v>L</v>
      </c>
      <c r="K559" s="4">
        <f>INDEX(Product!$A$1:$G$49,MATCH(orders!$D559,Product!$A$1:$A$49,0),MATCH(orders!K$1,Product!$A$1:$G$1,0))</f>
        <v>1</v>
      </c>
      <c r="L559" s="5">
        <f>INDEX(Product!$A$1:$G$49,MATCH(orders!$D559,Product!$A$1:$A$49,0),MATCH(orders!L$1,Product!$A$1:$G$1,0))</f>
        <v>14.85</v>
      </c>
      <c r="M559" s="5">
        <f t="shared" si="8"/>
        <v>59.4</v>
      </c>
      <c r="N559" t="str" cm="1">
        <f t="array" ref="N559">_xlfn.IFS(I559="Rob", "Robusta", I559="Exc", "Excelsa", I559="Ara", "Arabica", I559="Lib", "Liberica", TRUE, "")</f>
        <v>Excelsa</v>
      </c>
      <c r="O559" t="str" cm="1">
        <f t="array" ref="O559">_xlfn.IFS(J559="M", "Medium", J559="L", "Light", J559="D", "Dark", TRUE, "")</f>
        <v>Light</v>
      </c>
      <c r="P559" t="str">
        <f>_xlfn.XLOOKUP(Table1[[#This Row],[Customer ID]], customers!$A$1:$A$1001, customers!$I$1:$I$1001,, 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INDEX(Product!$A$1:$G$49,MATCH(orders!$D560,Product!$A$1:$A$49,0),MATCH(orders!I$1,Product!$A$1:$G$1,0))</f>
        <v>Lib</v>
      </c>
      <c r="J560" t="str">
        <f>INDEX(Product!$A$1:$G$49,MATCH(orders!$D560,Product!$A$1:$A$49,0),MATCH(orders!J$1,Product!$A$1:$G$1,0))</f>
        <v>D</v>
      </c>
      <c r="K560" s="4">
        <f>INDEX(Product!$A$1:$G$49,MATCH(orders!$D560,Product!$A$1:$A$49,0),MATCH(orders!K$1,Product!$A$1:$G$1,0))</f>
        <v>0.2</v>
      </c>
      <c r="L560" s="5">
        <f>INDEX(Product!$A$1:$G$49,MATCH(orders!$D560,Product!$A$1:$A$49,0),MATCH(orders!L$1,Product!$A$1:$G$1,0))</f>
        <v>3.8849999999999998</v>
      </c>
      <c r="M560" s="5">
        <f t="shared" si="8"/>
        <v>15.54</v>
      </c>
      <c r="N560" t="str" cm="1">
        <f t="array" ref="N560">_xlfn.IFS(I560="Rob", "Robusta", I560="Exc", "Excelsa", I560="Ara", "Arabica", I560="Lib", "Liberica", TRUE, "")</f>
        <v>Liberica</v>
      </c>
      <c r="O560" t="str" cm="1">
        <f t="array" ref="O560">_xlfn.IFS(J560="M", "Medium", J560="L", "Light", J560="D", "Dark", TRUE, "")</f>
        <v>Dark</v>
      </c>
      <c r="P560" t="str">
        <f>_xlfn.XLOOKUP(Table1[[#This Row],[Customer ID]], customers!$A$1:$A$1001, customers!$I$1:$I$1001,, 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INDEX(Product!$A$1:$G$49,MATCH(orders!$D561,Product!$A$1:$A$49,0),MATCH(orders!I$1,Product!$A$1:$G$1,0))</f>
        <v>Ara</v>
      </c>
      <c r="J561" t="str">
        <f>INDEX(Product!$A$1:$G$49,MATCH(orders!$D561,Product!$A$1:$A$49,0),MATCH(orders!J$1,Product!$A$1:$G$1,0))</f>
        <v>L</v>
      </c>
      <c r="K561" s="4">
        <f>INDEX(Product!$A$1:$G$49,MATCH(orders!$D561,Product!$A$1:$A$49,0),MATCH(orders!K$1,Product!$A$1:$G$1,0))</f>
        <v>1</v>
      </c>
      <c r="L561" s="5">
        <f>INDEX(Product!$A$1:$G$49,MATCH(orders!$D561,Product!$A$1:$A$49,0),MATCH(orders!L$1,Product!$A$1:$G$1,0))</f>
        <v>12.95</v>
      </c>
      <c r="M561" s="5">
        <f t="shared" si="8"/>
        <v>38.849999999999994</v>
      </c>
      <c r="N561" t="str" cm="1">
        <f t="array" ref="N561">_xlfn.IFS(I561="Rob", "Robusta", I561="Exc", "Excelsa", I561="Ara", "Arabica", I561="Lib", "Liberica", TRUE, "")</f>
        <v>Arabica</v>
      </c>
      <c r="O561" t="str" cm="1">
        <f t="array" ref="O561">_xlfn.IFS(J561="M", "Medium", J561="L", "Light", J561="D", "Dark", TRUE, "")</f>
        <v>Light</v>
      </c>
      <c r="P561" t="str">
        <f>_xlfn.XLOOKUP(Table1[[#This Row],[Customer ID]], customers!$A$1:$A$1001, customers!$I$1:$I$1001,, 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INDEX(Product!$A$1:$G$49,MATCH(orders!$D562,Product!$A$1:$A$49,0),MATCH(orders!I$1,Product!$A$1:$G$1,0))</f>
        <v>Exc</v>
      </c>
      <c r="J562" t="str">
        <f>INDEX(Product!$A$1:$G$49,MATCH(orders!$D562,Product!$A$1:$A$49,0),MATCH(orders!J$1,Product!$A$1:$G$1,0))</f>
        <v>M</v>
      </c>
      <c r="K562" s="4">
        <f>INDEX(Product!$A$1:$G$49,MATCH(orders!$D562,Product!$A$1:$A$49,0),MATCH(orders!K$1,Product!$A$1:$G$1,0))</f>
        <v>2.5</v>
      </c>
      <c r="L562" s="5">
        <f>INDEX(Product!$A$1:$G$49,MATCH(orders!$D562,Product!$A$1:$A$49,0),MATCH(orders!L$1,Product!$A$1:$G$1,0))</f>
        <v>31.624999999999996</v>
      </c>
      <c r="M562" s="5">
        <f t="shared" si="8"/>
        <v>189.74999999999997</v>
      </c>
      <c r="N562" t="str" cm="1">
        <f t="array" ref="N562">_xlfn.IFS(I562="Rob", "Robusta", I562="Exc", "Excelsa", I562="Ara", "Arabica", I562="Lib", "Liberica", TRUE, "")</f>
        <v>Excelsa</v>
      </c>
      <c r="O562" t="str" cm="1">
        <f t="array" ref="O562">_xlfn.IFS(J562="M", "Medium", J562="L", "Light", J562="D", "Dark", TRUE, "")</f>
        <v>Medium</v>
      </c>
      <c r="P562" t="str">
        <f>_xlfn.XLOOKUP(Table1[[#This Row],[Customer ID]], customers!$A$1:$A$1001, customers!$I$1:$I$1001,, 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INDEX(Product!$A$1:$G$49,MATCH(orders!$D563,Product!$A$1:$A$49,0),MATCH(orders!I$1,Product!$A$1:$G$1,0))</f>
        <v>Ara</v>
      </c>
      <c r="J563" t="str">
        <f>INDEX(Product!$A$1:$G$49,MATCH(orders!$D563,Product!$A$1:$A$49,0),MATCH(orders!J$1,Product!$A$1:$G$1,0))</f>
        <v>D</v>
      </c>
      <c r="K563" s="4">
        <f>INDEX(Product!$A$1:$G$49,MATCH(orders!$D563,Product!$A$1:$A$49,0),MATCH(orders!K$1,Product!$A$1:$G$1,0))</f>
        <v>0.2</v>
      </c>
      <c r="L563" s="5">
        <f>INDEX(Product!$A$1:$G$49,MATCH(orders!$D563,Product!$A$1:$A$49,0),MATCH(orders!L$1,Product!$A$1:$G$1,0))</f>
        <v>2.9849999999999999</v>
      </c>
      <c r="M563" s="5">
        <f t="shared" si="8"/>
        <v>17.91</v>
      </c>
      <c r="N563" t="str" cm="1">
        <f t="array" ref="N563">_xlfn.IFS(I563="Rob", "Robusta", I563="Exc", "Excelsa", I563="Ara", "Arabica", I563="Lib", "Liberica", TRUE, "")</f>
        <v>Arabica</v>
      </c>
      <c r="O563" t="str" cm="1">
        <f t="array" ref="O563">_xlfn.IFS(J563="M", "Medium", J563="L", "Light", J563="D", "Dark", TRUE, "")</f>
        <v>Dark</v>
      </c>
      <c r="P563" t="str">
        <f>_xlfn.XLOOKUP(Table1[[#This Row],[Customer ID]], customers!$A$1:$A$1001, customers!$I$1:$I$1001,, 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INDEX(Product!$A$1:$G$49,MATCH(orders!$D564,Product!$A$1:$A$49,0),MATCH(orders!I$1,Product!$A$1:$G$1,0))</f>
        <v>Lib</v>
      </c>
      <c r="J564" t="str">
        <f>INDEX(Product!$A$1:$G$49,MATCH(orders!$D564,Product!$A$1:$A$49,0),MATCH(orders!J$1,Product!$A$1:$G$1,0))</f>
        <v>L</v>
      </c>
      <c r="K564" s="4">
        <f>INDEX(Product!$A$1:$G$49,MATCH(orders!$D564,Product!$A$1:$A$49,0),MATCH(orders!K$1,Product!$A$1:$G$1,0))</f>
        <v>0.2</v>
      </c>
      <c r="L564" s="5">
        <f>INDEX(Product!$A$1:$G$49,MATCH(orders!$D564,Product!$A$1:$A$49,0),MATCH(orders!L$1,Product!$A$1:$G$1,0))</f>
        <v>4.7549999999999999</v>
      </c>
      <c r="M564" s="5">
        <f t="shared" si="8"/>
        <v>28.53</v>
      </c>
      <c r="N564" t="str" cm="1">
        <f t="array" ref="N564">_xlfn.IFS(I564="Rob", "Robusta", I564="Exc", "Excelsa", I564="Ara", "Arabica", I564="Lib", "Liberica", TRUE, "")</f>
        <v>Liberica</v>
      </c>
      <c r="O564" t="str" cm="1">
        <f t="array" ref="O564">_xlfn.IFS(J564="M", "Medium", J564="L", "Light", J564="D", "Dark", TRUE, "")</f>
        <v>Light</v>
      </c>
      <c r="P564" t="str">
        <f>_xlfn.XLOOKUP(Table1[[#This Row],[Customer ID]], customers!$A$1:$A$1001, customers!$I$1:$I$1001,, 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INDEX(Product!$A$1:$G$49,MATCH(orders!$D565,Product!$A$1:$A$49,0),MATCH(orders!I$1,Product!$A$1:$G$1,0))</f>
        <v>Exc</v>
      </c>
      <c r="J565" t="str">
        <f>INDEX(Product!$A$1:$G$49,MATCH(orders!$D565,Product!$A$1:$A$49,0),MATCH(orders!J$1,Product!$A$1:$G$1,0))</f>
        <v>M</v>
      </c>
      <c r="K565" s="4">
        <f>INDEX(Product!$A$1:$G$49,MATCH(orders!$D565,Product!$A$1:$A$49,0),MATCH(orders!K$1,Product!$A$1:$G$1,0))</f>
        <v>1</v>
      </c>
      <c r="L565" s="5">
        <f>INDEX(Product!$A$1:$G$49,MATCH(orders!$D565,Product!$A$1:$A$49,0),MATCH(orders!L$1,Product!$A$1:$G$1,0))</f>
        <v>13.75</v>
      </c>
      <c r="M565" s="5">
        <f t="shared" si="8"/>
        <v>82.5</v>
      </c>
      <c r="N565" t="str" cm="1">
        <f t="array" ref="N565">_xlfn.IFS(I565="Rob", "Robusta", I565="Exc", "Excelsa", I565="Ara", "Arabica", I565="Lib", "Liberica", TRUE, "")</f>
        <v>Excelsa</v>
      </c>
      <c r="O565" t="str" cm="1">
        <f t="array" ref="O565">_xlfn.IFS(J565="M", "Medium", J565="L", "Light", J565="D", "Dark", TRUE, "")</f>
        <v>Medium</v>
      </c>
      <c r="P565" t="str">
        <f>_xlfn.XLOOKUP(Table1[[#This Row],[Customer ID]], customers!$A$1:$A$1001, customers!$I$1:$I$1001,, 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INDEX(Product!$A$1:$G$49,MATCH(orders!$D566,Product!$A$1:$A$49,0),MATCH(orders!I$1,Product!$A$1:$G$1,0))</f>
        <v>Rob</v>
      </c>
      <c r="J566" t="str">
        <f>INDEX(Product!$A$1:$G$49,MATCH(orders!$D566,Product!$A$1:$A$49,0),MATCH(orders!J$1,Product!$A$1:$G$1,0))</f>
        <v>L</v>
      </c>
      <c r="K566" s="4">
        <f>INDEX(Product!$A$1:$G$49,MATCH(orders!$D566,Product!$A$1:$A$49,0),MATCH(orders!K$1,Product!$A$1:$G$1,0))</f>
        <v>0.5</v>
      </c>
      <c r="L566" s="5">
        <f>INDEX(Product!$A$1:$G$49,MATCH(orders!$D566,Product!$A$1:$A$49,0),MATCH(orders!L$1,Product!$A$1:$G$1,0))</f>
        <v>7.169999999999999</v>
      </c>
      <c r="M566" s="5">
        <f t="shared" si="8"/>
        <v>14.339999999999998</v>
      </c>
      <c r="N566" t="str" cm="1">
        <f t="array" ref="N566">_xlfn.IFS(I566="Rob", "Robusta", I566="Exc", "Excelsa", I566="Ara", "Arabica", I566="Lib", "Liberica", TRUE, "")</f>
        <v>Robusta</v>
      </c>
      <c r="O566" t="str" cm="1">
        <f t="array" ref="O566">_xlfn.IFS(J566="M", "Medium", J566="L", "Light", J566="D", "Dark", TRUE, "")</f>
        <v>Light</v>
      </c>
      <c r="P566" t="str">
        <f>_xlfn.XLOOKUP(Table1[[#This Row],[Customer ID]], customers!$A$1:$A$1001, customers!$I$1:$I$1001,, 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INDEX(Product!$A$1:$G$49,MATCH(orders!$D567,Product!$A$1:$A$49,0),MATCH(orders!I$1,Product!$A$1:$G$1,0))</f>
        <v>Rob</v>
      </c>
      <c r="J567" t="str">
        <f>INDEX(Product!$A$1:$G$49,MATCH(orders!$D567,Product!$A$1:$A$49,0),MATCH(orders!J$1,Product!$A$1:$G$1,0))</f>
        <v>D</v>
      </c>
      <c r="K567" s="4">
        <f>INDEX(Product!$A$1:$G$49,MATCH(orders!$D567,Product!$A$1:$A$49,0),MATCH(orders!K$1,Product!$A$1:$G$1,0))</f>
        <v>2.5</v>
      </c>
      <c r="L567" s="5">
        <f>INDEX(Product!$A$1:$G$49,MATCH(orders!$D567,Product!$A$1:$A$49,0),MATCH(orders!L$1,Product!$A$1:$G$1,0))</f>
        <v>20.584999999999997</v>
      </c>
      <c r="M567" s="5">
        <f t="shared" si="8"/>
        <v>82.339999999999989</v>
      </c>
      <c r="N567" t="str" cm="1">
        <f t="array" ref="N567">_xlfn.IFS(I567="Rob", "Robusta", I567="Exc", "Excelsa", I567="Ara", "Arabica", I567="Lib", "Liberica", TRUE, "")</f>
        <v>Robusta</v>
      </c>
      <c r="O567" t="str" cm="1">
        <f t="array" ref="O567">_xlfn.IFS(J567="M", "Medium", J567="L", "Light", J567="D", "Dark", TRUE, "")</f>
        <v>Dark</v>
      </c>
      <c r="P567" t="str">
        <f>_xlfn.XLOOKUP(Table1[[#This Row],[Customer ID]], customers!$A$1:$A$1001, customers!$I$1:$I$1001,, 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INDEX(Product!$A$1:$G$49,MATCH(orders!$D568,Product!$A$1:$A$49,0),MATCH(orders!I$1,Product!$A$1:$G$1,0))</f>
        <v>Ara</v>
      </c>
      <c r="J568" t="str">
        <f>INDEX(Product!$A$1:$G$49,MATCH(orders!$D568,Product!$A$1:$A$49,0),MATCH(orders!J$1,Product!$A$1:$G$1,0))</f>
        <v>M</v>
      </c>
      <c r="K568" s="4">
        <f>INDEX(Product!$A$1:$G$49,MATCH(orders!$D568,Product!$A$1:$A$49,0),MATCH(orders!K$1,Product!$A$1:$G$1,0))</f>
        <v>0.2</v>
      </c>
      <c r="L568" s="5">
        <f>INDEX(Product!$A$1:$G$49,MATCH(orders!$D568,Product!$A$1:$A$49,0),MATCH(orders!L$1,Product!$A$1:$G$1,0))</f>
        <v>3.375</v>
      </c>
      <c r="M568" s="5">
        <f t="shared" si="8"/>
        <v>20.25</v>
      </c>
      <c r="N568" t="str" cm="1">
        <f t="array" ref="N568">_xlfn.IFS(I568="Rob", "Robusta", I568="Exc", "Excelsa", I568="Ara", "Arabica", I568="Lib", "Liberica", TRUE, "")</f>
        <v>Arabica</v>
      </c>
      <c r="O568" t="str" cm="1">
        <f t="array" ref="O568">_xlfn.IFS(J568="M", "Medium", J568="L", "Light", J568="D", "Dark", TRUE, "")</f>
        <v>Medium</v>
      </c>
      <c r="P568" t="str">
        <f>_xlfn.XLOOKUP(Table1[[#This Row],[Customer ID]], customers!$A$1:$A$1001, customers!$I$1:$I$1001,, 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INDEX(Product!$A$1:$G$49,MATCH(orders!$D569,Product!$A$1:$A$49,0),MATCH(orders!I$1,Product!$A$1:$G$1,0))</f>
        <v>Rob</v>
      </c>
      <c r="J569" t="str">
        <f>INDEX(Product!$A$1:$G$49,MATCH(orders!$D569,Product!$A$1:$A$49,0),MATCH(orders!J$1,Product!$A$1:$G$1,0))</f>
        <v>L</v>
      </c>
      <c r="K569" s="4">
        <f>INDEX(Product!$A$1:$G$49,MATCH(orders!$D569,Product!$A$1:$A$49,0),MATCH(orders!K$1,Product!$A$1:$G$1,0))</f>
        <v>2.5</v>
      </c>
      <c r="L569" s="5">
        <f>INDEX(Product!$A$1:$G$49,MATCH(orders!$D569,Product!$A$1:$A$49,0),MATCH(orders!L$1,Product!$A$1:$G$1,0))</f>
        <v>27.484999999999996</v>
      </c>
      <c r="M569" s="5">
        <f t="shared" si="8"/>
        <v>164.90999999999997</v>
      </c>
      <c r="N569" t="str" cm="1">
        <f t="array" ref="N569">_xlfn.IFS(I569="Rob", "Robusta", I569="Exc", "Excelsa", I569="Ara", "Arabica", I569="Lib", "Liberica", TRUE, "")</f>
        <v>Robusta</v>
      </c>
      <c r="O569" t="str" cm="1">
        <f t="array" ref="O569">_xlfn.IFS(J569="M", "Medium", J569="L", "Light", J569="D", "Dark", TRUE, "")</f>
        <v>Light</v>
      </c>
      <c r="P569" t="str">
        <f>_xlfn.XLOOKUP(Table1[[#This Row],[Customer ID]], customers!$A$1:$A$1001, customers!$I$1:$I$1001,, 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INDEX(Product!$A$1:$G$49,MATCH(orders!$D570,Product!$A$1:$A$49,0),MATCH(orders!I$1,Product!$A$1:$G$1,0))</f>
        <v>Lib</v>
      </c>
      <c r="J570" t="str">
        <f>INDEX(Product!$A$1:$G$49,MATCH(orders!$D570,Product!$A$1:$A$49,0),MATCH(orders!J$1,Product!$A$1:$G$1,0))</f>
        <v>L</v>
      </c>
      <c r="K570" s="4">
        <f>INDEX(Product!$A$1:$G$49,MATCH(orders!$D570,Product!$A$1:$A$49,0),MATCH(orders!K$1,Product!$A$1:$G$1,0))</f>
        <v>0.2</v>
      </c>
      <c r="L570" s="5">
        <f>INDEX(Product!$A$1:$G$49,MATCH(orders!$D570,Product!$A$1:$A$49,0),MATCH(orders!L$1,Product!$A$1:$G$1,0))</f>
        <v>4.7549999999999999</v>
      </c>
      <c r="M570" s="5">
        <f t="shared" si="8"/>
        <v>19.02</v>
      </c>
      <c r="N570" t="str" cm="1">
        <f t="array" ref="N570">_xlfn.IFS(I570="Rob", "Robusta", I570="Exc", "Excelsa", I570="Ara", "Arabica", I570="Lib", "Liberica", TRUE, "")</f>
        <v>Liberica</v>
      </c>
      <c r="O570" t="str" cm="1">
        <f t="array" ref="O570">_xlfn.IFS(J570="M", "Medium", J570="L", "Light", J570="D", "Dark", TRUE, "")</f>
        <v>Light</v>
      </c>
      <c r="P570" t="str">
        <f>_xlfn.XLOOKUP(Table1[[#This Row],[Customer ID]], customers!$A$1:$A$1001, customers!$I$1:$I$1001,, 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INDEX(Product!$A$1:$G$49,MATCH(orders!$D571,Product!$A$1:$A$49,0),MATCH(orders!I$1,Product!$A$1:$G$1,0))</f>
        <v>Ara</v>
      </c>
      <c r="J571" t="str">
        <f>INDEX(Product!$A$1:$G$49,MATCH(orders!$D571,Product!$A$1:$A$49,0),MATCH(orders!J$1,Product!$A$1:$G$1,0))</f>
        <v>D</v>
      </c>
      <c r="K571" s="4">
        <f>INDEX(Product!$A$1:$G$49,MATCH(orders!$D571,Product!$A$1:$A$49,0),MATCH(orders!K$1,Product!$A$1:$G$1,0))</f>
        <v>2.5</v>
      </c>
      <c r="L571" s="5">
        <f>INDEX(Product!$A$1:$G$49,MATCH(orders!$D571,Product!$A$1:$A$49,0),MATCH(orders!L$1,Product!$A$1:$G$1,0))</f>
        <v>22.884999999999998</v>
      </c>
      <c r="M571" s="5">
        <f t="shared" si="8"/>
        <v>137.31</v>
      </c>
      <c r="N571" t="str" cm="1">
        <f t="array" ref="N571">_xlfn.IFS(I571="Rob", "Robusta", I571="Exc", "Excelsa", I571="Ara", "Arabica", I571="Lib", "Liberica", TRUE, "")</f>
        <v>Arabica</v>
      </c>
      <c r="O571" t="str" cm="1">
        <f t="array" ref="O571">_xlfn.IFS(J571="M", "Medium", J571="L", "Light", J571="D", "Dark", TRUE, "")</f>
        <v>Dark</v>
      </c>
      <c r="P571" t="str">
        <f>_xlfn.XLOOKUP(Table1[[#This Row],[Customer ID]], customers!$A$1:$A$1001, customers!$I$1:$I$1001,, 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INDEX(Product!$A$1:$G$49,MATCH(orders!$D572,Product!$A$1:$A$49,0),MATCH(orders!I$1,Product!$A$1:$G$1,0))</f>
        <v>Ara</v>
      </c>
      <c r="J572" t="str">
        <f>INDEX(Product!$A$1:$G$49,MATCH(orders!$D572,Product!$A$1:$A$49,0),MATCH(orders!J$1,Product!$A$1:$G$1,0))</f>
        <v>M</v>
      </c>
      <c r="K572" s="4">
        <f>INDEX(Product!$A$1:$G$49,MATCH(orders!$D572,Product!$A$1:$A$49,0),MATCH(orders!K$1,Product!$A$1:$G$1,0))</f>
        <v>0.5</v>
      </c>
      <c r="L572" s="5">
        <f>INDEX(Product!$A$1:$G$49,MATCH(orders!$D572,Product!$A$1:$A$49,0),MATCH(orders!L$1,Product!$A$1:$G$1,0))</f>
        <v>6.75</v>
      </c>
      <c r="M572" s="5">
        <f t="shared" si="8"/>
        <v>27</v>
      </c>
      <c r="N572" t="str" cm="1">
        <f t="array" ref="N572">_xlfn.IFS(I572="Rob", "Robusta", I572="Exc", "Excelsa", I572="Ara", "Arabica", I572="Lib", "Liberica", TRUE, "")</f>
        <v>Arabica</v>
      </c>
      <c r="O572" t="str" cm="1">
        <f t="array" ref="O572">_xlfn.IFS(J572="M", "Medium", J572="L", "Light", J572="D", "Dark", TRUE, "")</f>
        <v>Medium</v>
      </c>
      <c r="P572" t="str">
        <f>_xlfn.XLOOKUP(Table1[[#This Row],[Customer ID]], customers!$A$1:$A$1001, customers!$I$1:$I$1001,, 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INDEX(Product!$A$1:$G$49,MATCH(orders!$D573,Product!$A$1:$A$49,0),MATCH(orders!I$1,Product!$A$1:$G$1,0))</f>
        <v>Exc</v>
      </c>
      <c r="J573" t="str">
        <f>INDEX(Product!$A$1:$G$49,MATCH(orders!$D573,Product!$A$1:$A$49,0),MATCH(orders!J$1,Product!$A$1:$G$1,0))</f>
        <v>L</v>
      </c>
      <c r="K573" s="4">
        <f>INDEX(Product!$A$1:$G$49,MATCH(orders!$D573,Product!$A$1:$A$49,0),MATCH(orders!K$1,Product!$A$1:$G$1,0))</f>
        <v>0.5</v>
      </c>
      <c r="L573" s="5">
        <f>INDEX(Product!$A$1:$G$49,MATCH(orders!$D573,Product!$A$1:$A$49,0),MATCH(orders!L$1,Product!$A$1:$G$1,0))</f>
        <v>8.91</v>
      </c>
      <c r="M573" s="5">
        <f t="shared" si="8"/>
        <v>35.64</v>
      </c>
      <c r="N573" t="str" cm="1">
        <f t="array" ref="N573">_xlfn.IFS(I573="Rob", "Robusta", I573="Exc", "Excelsa", I573="Ara", "Arabica", I573="Lib", "Liberica", TRUE, "")</f>
        <v>Excelsa</v>
      </c>
      <c r="O573" t="str" cm="1">
        <f t="array" ref="O573">_xlfn.IFS(J573="M", "Medium", J573="L", "Light", J573="D", "Dark", TRUE, "")</f>
        <v>Light</v>
      </c>
      <c r="P573" t="str">
        <f>_xlfn.XLOOKUP(Table1[[#This Row],[Customer ID]], customers!$A$1:$A$1001, customers!$I$1:$I$1001,, 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INDEX(Product!$A$1:$G$49,MATCH(orders!$D574,Product!$A$1:$A$49,0),MATCH(orders!I$1,Product!$A$1:$G$1,0))</f>
        <v>Ara</v>
      </c>
      <c r="J574" t="str">
        <f>INDEX(Product!$A$1:$G$49,MATCH(orders!$D574,Product!$A$1:$A$49,0),MATCH(orders!J$1,Product!$A$1:$G$1,0))</f>
        <v>D</v>
      </c>
      <c r="K574" s="4">
        <f>INDEX(Product!$A$1:$G$49,MATCH(orders!$D574,Product!$A$1:$A$49,0),MATCH(orders!K$1,Product!$A$1:$G$1,0))</f>
        <v>0.2</v>
      </c>
      <c r="L574" s="5">
        <f>INDEX(Product!$A$1:$G$49,MATCH(orders!$D574,Product!$A$1:$A$49,0),MATCH(orders!L$1,Product!$A$1:$G$1,0))</f>
        <v>2.9849999999999999</v>
      </c>
      <c r="M574" s="5">
        <f t="shared" si="8"/>
        <v>5.97</v>
      </c>
      <c r="N574" t="str" cm="1">
        <f t="array" ref="N574">_xlfn.IFS(I574="Rob", "Robusta", I574="Exc", "Excelsa", I574="Ara", "Arabica", I574="Lib", "Liberica", TRUE, "")</f>
        <v>Arabica</v>
      </c>
      <c r="O574" t="str" cm="1">
        <f t="array" ref="O574">_xlfn.IFS(J574="M", "Medium", J574="L", "Light", J574="D", "Dark", TRUE, "")</f>
        <v>Dark</v>
      </c>
      <c r="P574" t="str">
        <f>_xlfn.XLOOKUP(Table1[[#This Row],[Customer ID]], customers!$A$1:$A$1001, customers!$I$1:$I$1001,, 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INDEX(Product!$A$1:$G$49,MATCH(orders!$D575,Product!$A$1:$A$49,0),MATCH(orders!I$1,Product!$A$1:$G$1,0))</f>
        <v>Ara</v>
      </c>
      <c r="J575" t="str">
        <f>INDEX(Product!$A$1:$G$49,MATCH(orders!$D575,Product!$A$1:$A$49,0),MATCH(orders!J$1,Product!$A$1:$G$1,0))</f>
        <v>M</v>
      </c>
      <c r="K575" s="4">
        <f>INDEX(Product!$A$1:$G$49,MATCH(orders!$D575,Product!$A$1:$A$49,0),MATCH(orders!K$1,Product!$A$1:$G$1,0))</f>
        <v>1</v>
      </c>
      <c r="L575" s="5">
        <f>INDEX(Product!$A$1:$G$49,MATCH(orders!$D575,Product!$A$1:$A$49,0),MATCH(orders!L$1,Product!$A$1:$G$1,0))</f>
        <v>11.25</v>
      </c>
      <c r="M575" s="5">
        <f t="shared" si="8"/>
        <v>67.5</v>
      </c>
      <c r="N575" t="str" cm="1">
        <f t="array" ref="N575">_xlfn.IFS(I575="Rob", "Robusta", I575="Exc", "Excelsa", I575="Ara", "Arabica", I575="Lib", "Liberica", TRUE, "")</f>
        <v>Arabica</v>
      </c>
      <c r="O575" t="str" cm="1">
        <f t="array" ref="O575">_xlfn.IFS(J575="M", "Medium", J575="L", "Light", J575="D", "Dark", TRUE, "")</f>
        <v>Medium</v>
      </c>
      <c r="P575" t="str">
        <f>_xlfn.XLOOKUP(Table1[[#This Row],[Customer ID]], customers!$A$1:$A$1001, customers!$I$1:$I$1001,, 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INDEX(Product!$A$1:$G$49,MATCH(orders!$D576,Product!$A$1:$A$49,0),MATCH(orders!I$1,Product!$A$1:$G$1,0))</f>
        <v>Rob</v>
      </c>
      <c r="J576" t="str">
        <f>INDEX(Product!$A$1:$G$49,MATCH(orders!$D576,Product!$A$1:$A$49,0),MATCH(orders!J$1,Product!$A$1:$G$1,0))</f>
        <v>L</v>
      </c>
      <c r="K576" s="4">
        <f>INDEX(Product!$A$1:$G$49,MATCH(orders!$D576,Product!$A$1:$A$49,0),MATCH(orders!K$1,Product!$A$1:$G$1,0))</f>
        <v>0.2</v>
      </c>
      <c r="L576" s="5">
        <f>INDEX(Product!$A$1:$G$49,MATCH(orders!$D576,Product!$A$1:$A$49,0),MATCH(orders!L$1,Product!$A$1:$G$1,0))</f>
        <v>3.5849999999999995</v>
      </c>
      <c r="M576" s="5">
        <f t="shared" si="8"/>
        <v>21.509999999999998</v>
      </c>
      <c r="N576" t="str" cm="1">
        <f t="array" ref="N576">_xlfn.IFS(I576="Rob", "Robusta", I576="Exc", "Excelsa", I576="Ara", "Arabica", I576="Lib", "Liberica", TRUE, "")</f>
        <v>Robusta</v>
      </c>
      <c r="O576" t="str" cm="1">
        <f t="array" ref="O576">_xlfn.IFS(J576="M", "Medium", J576="L", "Light", J576="D", "Dark", TRUE, "")</f>
        <v>Light</v>
      </c>
      <c r="P576" t="str">
        <f>_xlfn.XLOOKUP(Table1[[#This Row],[Customer ID]], customers!$A$1:$A$1001, customers!$I$1:$I$1001,, 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INDEX(Product!$A$1:$G$49,MATCH(orders!$D577,Product!$A$1:$A$49,0),MATCH(orders!I$1,Product!$A$1:$G$1,0))</f>
        <v>Lib</v>
      </c>
      <c r="J577" t="str">
        <f>INDEX(Product!$A$1:$G$49,MATCH(orders!$D577,Product!$A$1:$A$49,0),MATCH(orders!J$1,Product!$A$1:$G$1,0))</f>
        <v>M</v>
      </c>
      <c r="K577" s="4">
        <f>INDEX(Product!$A$1:$G$49,MATCH(orders!$D577,Product!$A$1:$A$49,0),MATCH(orders!K$1,Product!$A$1:$G$1,0))</f>
        <v>2.5</v>
      </c>
      <c r="L577" s="5">
        <f>INDEX(Product!$A$1:$G$49,MATCH(orders!$D577,Product!$A$1:$A$49,0),MATCH(orders!L$1,Product!$A$1:$G$1,0))</f>
        <v>33.464999999999996</v>
      </c>
      <c r="M577" s="5">
        <f t="shared" si="8"/>
        <v>66.929999999999993</v>
      </c>
      <c r="N577" t="str" cm="1">
        <f t="array" ref="N577">_xlfn.IFS(I577="Rob", "Robusta", I577="Exc", "Excelsa", I577="Ara", "Arabica", I577="Lib", "Liberica", TRUE, "")</f>
        <v>Liberica</v>
      </c>
      <c r="O577" t="str" cm="1">
        <f t="array" ref="O577">_xlfn.IFS(J577="M", "Medium", J577="L", "Light", J577="D", "Dark", TRUE, "")</f>
        <v>Medium</v>
      </c>
      <c r="P577" t="str">
        <f>_xlfn.XLOOKUP(Table1[[#This Row],[Customer ID]], customers!$A$1:$A$1001, customers!$I$1:$I$1001,, 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INDEX(Product!$A$1:$G$49,MATCH(orders!$D578,Product!$A$1:$A$49,0),MATCH(orders!I$1,Product!$A$1:$G$1,0))</f>
        <v>Ara</v>
      </c>
      <c r="J578" t="str">
        <f>INDEX(Product!$A$1:$G$49,MATCH(orders!$D578,Product!$A$1:$A$49,0),MATCH(orders!J$1,Product!$A$1:$G$1,0))</f>
        <v>D</v>
      </c>
      <c r="K578" s="4">
        <f>INDEX(Product!$A$1:$G$49,MATCH(orders!$D578,Product!$A$1:$A$49,0),MATCH(orders!K$1,Product!$A$1:$G$1,0))</f>
        <v>0.2</v>
      </c>
      <c r="L578" s="5">
        <f>INDEX(Product!$A$1:$G$49,MATCH(orders!$D578,Product!$A$1:$A$49,0),MATCH(orders!L$1,Product!$A$1:$G$1,0))</f>
        <v>2.9849999999999999</v>
      </c>
      <c r="M578" s="5">
        <f t="shared" ref="M578:M641" si="9">L578*E578</f>
        <v>17.91</v>
      </c>
      <c r="N578" t="str" cm="1">
        <f t="array" ref="N578">_xlfn.IFS(I578="Rob", "Robusta", I578="Exc", "Excelsa", I578="Ara", "Arabica", I578="Lib", "Liberica", TRUE, "")</f>
        <v>Arabica</v>
      </c>
      <c r="O578" t="str" cm="1">
        <f t="array" ref="O578">_xlfn.IFS(J578="M", "Medium", J578="L", "Light", J578="D", "Dark", TRUE, "")</f>
        <v>Dark</v>
      </c>
      <c r="P578" t="str">
        <f>_xlfn.XLOOKUP(Table1[[#This Row],[Customer ID]], customers!$A$1:$A$1001, customers!$I$1:$I$1001,, 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INDEX(Product!$A$1:$G$49,MATCH(orders!$D579,Product!$A$1:$A$49,0),MATCH(orders!I$1,Product!$A$1:$G$1,0))</f>
        <v>Lib</v>
      </c>
      <c r="J579" t="str">
        <f>INDEX(Product!$A$1:$G$49,MATCH(orders!$D579,Product!$A$1:$A$49,0),MATCH(orders!J$1,Product!$A$1:$G$1,0))</f>
        <v>M</v>
      </c>
      <c r="K579" s="4">
        <f>INDEX(Product!$A$1:$G$49,MATCH(orders!$D579,Product!$A$1:$A$49,0),MATCH(orders!K$1,Product!$A$1:$G$1,0))</f>
        <v>1</v>
      </c>
      <c r="L579" s="5">
        <f>INDEX(Product!$A$1:$G$49,MATCH(orders!$D579,Product!$A$1:$A$49,0),MATCH(orders!L$1,Product!$A$1:$G$1,0))</f>
        <v>14.55</v>
      </c>
      <c r="M579" s="5">
        <f t="shared" si="9"/>
        <v>58.2</v>
      </c>
      <c r="N579" t="str" cm="1">
        <f t="array" ref="N579">_xlfn.IFS(I579="Rob", "Robusta", I579="Exc", "Excelsa", I579="Ara", "Arabica", I579="Lib", "Liberica", TRUE, "")</f>
        <v>Liberica</v>
      </c>
      <c r="O579" t="str" cm="1">
        <f t="array" ref="O579">_xlfn.IFS(J579="M", "Medium", J579="L", "Light", J579="D", "Dark", TRUE, "")</f>
        <v>Medium</v>
      </c>
      <c r="P579" t="str">
        <f>_xlfn.XLOOKUP(Table1[[#This Row],[Customer ID]], customers!$A$1:$A$1001, customers!$I$1:$I$1001,, 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INDEX(Product!$A$1:$G$49,MATCH(orders!$D580,Product!$A$1:$A$49,0),MATCH(orders!I$1,Product!$A$1:$G$1,0))</f>
        <v>Exc</v>
      </c>
      <c r="J580" t="str">
        <f>INDEX(Product!$A$1:$G$49,MATCH(orders!$D580,Product!$A$1:$A$49,0),MATCH(orders!J$1,Product!$A$1:$G$1,0))</f>
        <v>L</v>
      </c>
      <c r="K580" s="4">
        <f>INDEX(Product!$A$1:$G$49,MATCH(orders!$D580,Product!$A$1:$A$49,0),MATCH(orders!K$1,Product!$A$1:$G$1,0))</f>
        <v>0.2</v>
      </c>
      <c r="L580" s="5">
        <f>INDEX(Product!$A$1:$G$49,MATCH(orders!$D580,Product!$A$1:$A$49,0),MATCH(orders!L$1,Product!$A$1:$G$1,0))</f>
        <v>4.4550000000000001</v>
      </c>
      <c r="M580" s="5">
        <f t="shared" si="9"/>
        <v>13.365</v>
      </c>
      <c r="N580" t="str" cm="1">
        <f t="array" ref="N580">_xlfn.IFS(I580="Rob", "Robusta", I580="Exc", "Excelsa", I580="Ara", "Arabica", I580="Lib", "Liberica", TRUE, "")</f>
        <v>Excelsa</v>
      </c>
      <c r="O580" t="str" cm="1">
        <f t="array" ref="O580">_xlfn.IFS(J580="M", "Medium", J580="L", "Light", J580="D", "Dark", TRUE, "")</f>
        <v>Light</v>
      </c>
      <c r="P580" t="str">
        <f>_xlfn.XLOOKUP(Table1[[#This Row],[Customer ID]], customers!$A$1:$A$1001, customers!$I$1:$I$1001,, 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INDEX(Product!$A$1:$G$49,MATCH(orders!$D581,Product!$A$1:$A$49,0),MATCH(orders!I$1,Product!$A$1:$G$1,0))</f>
        <v>Ara</v>
      </c>
      <c r="J581" t="str">
        <f>INDEX(Product!$A$1:$G$49,MATCH(orders!$D581,Product!$A$1:$A$49,0),MATCH(orders!J$1,Product!$A$1:$G$1,0))</f>
        <v>M</v>
      </c>
      <c r="K581" s="4">
        <f>INDEX(Product!$A$1:$G$49,MATCH(orders!$D581,Product!$A$1:$A$49,0),MATCH(orders!K$1,Product!$A$1:$G$1,0))</f>
        <v>0.5</v>
      </c>
      <c r="L581" s="5">
        <f>INDEX(Product!$A$1:$G$49,MATCH(orders!$D581,Product!$A$1:$A$49,0),MATCH(orders!L$1,Product!$A$1:$G$1,0))</f>
        <v>6.75</v>
      </c>
      <c r="M581" s="5">
        <f t="shared" si="9"/>
        <v>33.75</v>
      </c>
      <c r="N581" t="str" cm="1">
        <f t="array" ref="N581">_xlfn.IFS(I581="Rob", "Robusta", I581="Exc", "Excelsa", I581="Ara", "Arabica", I581="Lib", "Liberica", TRUE, "")</f>
        <v>Arabica</v>
      </c>
      <c r="O581" t="str" cm="1">
        <f t="array" ref="O581">_xlfn.IFS(J581="M", "Medium", J581="L", "Light", J581="D", "Dark", TRUE, "")</f>
        <v>Medium</v>
      </c>
      <c r="P581" t="str">
        <f>_xlfn.XLOOKUP(Table1[[#This Row],[Customer ID]], customers!$A$1:$A$1001, customers!$I$1:$I$1001,, 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INDEX(Product!$A$1:$G$49,MATCH(orders!$D582,Product!$A$1:$A$49,0),MATCH(orders!I$1,Product!$A$1:$G$1,0))</f>
        <v>Exc</v>
      </c>
      <c r="J582" t="str">
        <f>INDEX(Product!$A$1:$G$49,MATCH(orders!$D582,Product!$A$1:$A$49,0),MATCH(orders!J$1,Product!$A$1:$G$1,0))</f>
        <v>L</v>
      </c>
      <c r="K582" s="4">
        <f>INDEX(Product!$A$1:$G$49,MATCH(orders!$D582,Product!$A$1:$A$49,0),MATCH(orders!K$1,Product!$A$1:$G$1,0))</f>
        <v>1</v>
      </c>
      <c r="L582" s="5">
        <f>INDEX(Product!$A$1:$G$49,MATCH(orders!$D582,Product!$A$1:$A$49,0),MATCH(orders!L$1,Product!$A$1:$G$1,0))</f>
        <v>14.85</v>
      </c>
      <c r="M582" s="5">
        <f t="shared" si="9"/>
        <v>44.55</v>
      </c>
      <c r="N582" t="str" cm="1">
        <f t="array" ref="N582">_xlfn.IFS(I582="Rob", "Robusta", I582="Exc", "Excelsa", I582="Ara", "Arabica", I582="Lib", "Liberica", TRUE, "")</f>
        <v>Excelsa</v>
      </c>
      <c r="O582" t="str" cm="1">
        <f t="array" ref="O582">_xlfn.IFS(J582="M", "Medium", J582="L", "Light", J582="D", "Dark", TRUE, "")</f>
        <v>Light</v>
      </c>
      <c r="P582" t="str">
        <f>_xlfn.XLOOKUP(Table1[[#This Row],[Customer ID]], customers!$A$1:$A$1001, customers!$I$1:$I$1001,, 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INDEX(Product!$A$1:$G$49,MATCH(orders!$D583,Product!$A$1:$A$49,0),MATCH(orders!I$1,Product!$A$1:$G$1,0))</f>
        <v>Exc</v>
      </c>
      <c r="J583" t="str">
        <f>INDEX(Product!$A$1:$G$49,MATCH(orders!$D583,Product!$A$1:$A$49,0),MATCH(orders!J$1,Product!$A$1:$G$1,0))</f>
        <v>L</v>
      </c>
      <c r="K583" s="4">
        <f>INDEX(Product!$A$1:$G$49,MATCH(orders!$D583,Product!$A$1:$A$49,0),MATCH(orders!K$1,Product!$A$1:$G$1,0))</f>
        <v>0.5</v>
      </c>
      <c r="L583" s="5">
        <f>INDEX(Product!$A$1:$G$49,MATCH(orders!$D583,Product!$A$1:$A$49,0),MATCH(orders!L$1,Product!$A$1:$G$1,0))</f>
        <v>8.91</v>
      </c>
      <c r="M583" s="5">
        <f t="shared" si="9"/>
        <v>44.55</v>
      </c>
      <c r="N583" t="str" cm="1">
        <f t="array" ref="N583">_xlfn.IFS(I583="Rob", "Robusta", I583="Exc", "Excelsa", I583="Ara", "Arabica", I583="Lib", "Liberica", TRUE, "")</f>
        <v>Excelsa</v>
      </c>
      <c r="O583" t="str" cm="1">
        <f t="array" ref="O583">_xlfn.IFS(J583="M", "Medium", J583="L", "Light", J583="D", "Dark", TRUE, "")</f>
        <v>Light</v>
      </c>
      <c r="P583" t="str">
        <f>_xlfn.XLOOKUP(Table1[[#This Row],[Customer ID]], customers!$A$1:$A$1001, customers!$I$1:$I$1001,, 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INDEX(Product!$A$1:$G$49,MATCH(orders!$D584,Product!$A$1:$A$49,0),MATCH(orders!I$1,Product!$A$1:$G$1,0))</f>
        <v>Exc</v>
      </c>
      <c r="J584" t="str">
        <f>INDEX(Product!$A$1:$G$49,MATCH(orders!$D584,Product!$A$1:$A$49,0),MATCH(orders!J$1,Product!$A$1:$G$1,0))</f>
        <v>D</v>
      </c>
      <c r="K584" s="4">
        <f>INDEX(Product!$A$1:$G$49,MATCH(orders!$D584,Product!$A$1:$A$49,0),MATCH(orders!K$1,Product!$A$1:$G$1,0))</f>
        <v>1</v>
      </c>
      <c r="L584" s="5">
        <f>INDEX(Product!$A$1:$G$49,MATCH(orders!$D584,Product!$A$1:$A$49,0),MATCH(orders!L$1,Product!$A$1:$G$1,0))</f>
        <v>12.15</v>
      </c>
      <c r="M584" s="5">
        <f t="shared" si="9"/>
        <v>60.75</v>
      </c>
      <c r="N584" t="str" cm="1">
        <f t="array" ref="N584">_xlfn.IFS(I584="Rob", "Robusta", I584="Exc", "Excelsa", I584="Ara", "Arabica", I584="Lib", "Liberica", TRUE, "")</f>
        <v>Excelsa</v>
      </c>
      <c r="O584" t="str" cm="1">
        <f t="array" ref="O584">_xlfn.IFS(J584="M", "Medium", J584="L", "Light", J584="D", "Dark", TRUE, "")</f>
        <v>Dark</v>
      </c>
      <c r="P584" t="str">
        <f>_xlfn.XLOOKUP(Table1[[#This Row],[Customer ID]], customers!$A$1:$A$1001, customers!$I$1:$I$1001,, 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INDEX(Product!$A$1:$G$49,MATCH(orders!$D585,Product!$A$1:$A$49,0),MATCH(orders!I$1,Product!$A$1:$G$1,0))</f>
        <v>Rob</v>
      </c>
      <c r="J585" t="str">
        <f>INDEX(Product!$A$1:$G$49,MATCH(orders!$D585,Product!$A$1:$A$49,0),MATCH(orders!J$1,Product!$A$1:$G$1,0))</f>
        <v>L</v>
      </c>
      <c r="K585" s="4">
        <f>INDEX(Product!$A$1:$G$49,MATCH(orders!$D585,Product!$A$1:$A$49,0),MATCH(orders!K$1,Product!$A$1:$G$1,0))</f>
        <v>0.2</v>
      </c>
      <c r="L585" s="5">
        <f>INDEX(Product!$A$1:$G$49,MATCH(orders!$D585,Product!$A$1:$A$49,0),MATCH(orders!L$1,Product!$A$1:$G$1,0))</f>
        <v>3.5849999999999995</v>
      </c>
      <c r="M585" s="5">
        <f t="shared" si="9"/>
        <v>3.5849999999999995</v>
      </c>
      <c r="N585" t="str" cm="1">
        <f t="array" ref="N585">_xlfn.IFS(I585="Rob", "Robusta", I585="Exc", "Excelsa", I585="Ara", "Arabica", I585="Lib", "Liberica", TRUE, "")</f>
        <v>Robusta</v>
      </c>
      <c r="O585" t="str" cm="1">
        <f t="array" ref="O585">_xlfn.IFS(J585="M", "Medium", J585="L", "Light", J585="D", "Dark", TRUE, "")</f>
        <v>Light</v>
      </c>
      <c r="P585" t="str">
        <f>_xlfn.XLOOKUP(Table1[[#This Row],[Customer ID]], customers!$A$1:$A$1001, customers!$I$1:$I$1001,, 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INDEX(Product!$A$1:$G$49,MATCH(orders!$D586,Product!$A$1:$A$49,0),MATCH(orders!I$1,Product!$A$1:$G$1,0))</f>
        <v>Rob</v>
      </c>
      <c r="J586" t="str">
        <f>INDEX(Product!$A$1:$G$49,MATCH(orders!$D586,Product!$A$1:$A$49,0),MATCH(orders!J$1,Product!$A$1:$G$1,0))</f>
        <v>L</v>
      </c>
      <c r="K586" s="4">
        <f>INDEX(Product!$A$1:$G$49,MATCH(orders!$D586,Product!$A$1:$A$49,0),MATCH(orders!K$1,Product!$A$1:$G$1,0))</f>
        <v>0.2</v>
      </c>
      <c r="L586" s="5">
        <f>INDEX(Product!$A$1:$G$49,MATCH(orders!$D586,Product!$A$1:$A$49,0),MATCH(orders!L$1,Product!$A$1:$G$1,0))</f>
        <v>3.5849999999999995</v>
      </c>
      <c r="M586" s="5">
        <f t="shared" si="9"/>
        <v>21.509999999999998</v>
      </c>
      <c r="N586" t="str" cm="1">
        <f t="array" ref="N586">_xlfn.IFS(I586="Rob", "Robusta", I586="Exc", "Excelsa", I586="Ara", "Arabica", I586="Lib", "Liberica", TRUE, "")</f>
        <v>Robusta</v>
      </c>
      <c r="O586" t="str" cm="1">
        <f t="array" ref="O586">_xlfn.IFS(J586="M", "Medium", J586="L", "Light", J586="D", "Dark", TRUE, "")</f>
        <v>Light</v>
      </c>
      <c r="P586" t="str">
        <f>_xlfn.XLOOKUP(Table1[[#This Row],[Customer ID]], customers!$A$1:$A$1001, customers!$I$1:$I$1001,, 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INDEX(Product!$A$1:$G$49,MATCH(orders!$D587,Product!$A$1:$A$49,0),MATCH(orders!I$1,Product!$A$1:$G$1,0))</f>
        <v>Exc</v>
      </c>
      <c r="J587" t="str">
        <f>INDEX(Product!$A$1:$G$49,MATCH(orders!$D587,Product!$A$1:$A$49,0),MATCH(orders!J$1,Product!$A$1:$G$1,0))</f>
        <v>M</v>
      </c>
      <c r="K587" s="4">
        <f>INDEX(Product!$A$1:$G$49,MATCH(orders!$D587,Product!$A$1:$A$49,0),MATCH(orders!K$1,Product!$A$1:$G$1,0))</f>
        <v>0.5</v>
      </c>
      <c r="L587" s="5">
        <f>INDEX(Product!$A$1:$G$49,MATCH(orders!$D587,Product!$A$1:$A$49,0),MATCH(orders!L$1,Product!$A$1:$G$1,0))</f>
        <v>8.25</v>
      </c>
      <c r="M587" s="5">
        <f t="shared" si="9"/>
        <v>16.5</v>
      </c>
      <c r="N587" t="str" cm="1">
        <f t="array" ref="N587">_xlfn.IFS(I587="Rob", "Robusta", I587="Exc", "Excelsa", I587="Ara", "Arabica", I587="Lib", "Liberica", TRUE, "")</f>
        <v>Excelsa</v>
      </c>
      <c r="O587" t="str" cm="1">
        <f t="array" ref="O587">_xlfn.IFS(J587="M", "Medium", J587="L", "Light", J587="D", "Dark", TRUE, "")</f>
        <v>Medium</v>
      </c>
      <c r="P587" t="str">
        <f>_xlfn.XLOOKUP(Table1[[#This Row],[Customer ID]], customers!$A$1:$A$1001, customers!$I$1:$I$1001,, 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INDEX(Product!$A$1:$G$49,MATCH(orders!$D588,Product!$A$1:$A$49,0),MATCH(orders!I$1,Product!$A$1:$G$1,0))</f>
        <v>Rob</v>
      </c>
      <c r="J588" t="str">
        <f>INDEX(Product!$A$1:$G$49,MATCH(orders!$D588,Product!$A$1:$A$49,0),MATCH(orders!J$1,Product!$A$1:$G$1,0))</f>
        <v>L</v>
      </c>
      <c r="K588" s="4">
        <f>INDEX(Product!$A$1:$G$49,MATCH(orders!$D588,Product!$A$1:$A$49,0),MATCH(orders!K$1,Product!$A$1:$G$1,0))</f>
        <v>2.5</v>
      </c>
      <c r="L588" s="5">
        <f>INDEX(Product!$A$1:$G$49,MATCH(orders!$D588,Product!$A$1:$A$49,0),MATCH(orders!L$1,Product!$A$1:$G$1,0))</f>
        <v>27.484999999999996</v>
      </c>
      <c r="M588" s="5">
        <f t="shared" si="9"/>
        <v>82.454999999999984</v>
      </c>
      <c r="N588" t="str" cm="1">
        <f t="array" ref="N588">_xlfn.IFS(I588="Rob", "Robusta", I588="Exc", "Excelsa", I588="Ara", "Arabica", I588="Lib", "Liberica", TRUE, "")</f>
        <v>Robusta</v>
      </c>
      <c r="O588" t="str" cm="1">
        <f t="array" ref="O588">_xlfn.IFS(J588="M", "Medium", J588="L", "Light", J588="D", "Dark", TRUE, "")</f>
        <v>Light</v>
      </c>
      <c r="P588" t="str">
        <f>_xlfn.XLOOKUP(Table1[[#This Row],[Customer ID]], customers!$A$1:$A$1001, customers!$I$1:$I$1001,, 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INDEX(Product!$A$1:$G$49,MATCH(orders!$D589,Product!$A$1:$A$49,0),MATCH(orders!I$1,Product!$A$1:$G$1,0))</f>
        <v>Lib</v>
      </c>
      <c r="J589" t="str">
        <f>INDEX(Product!$A$1:$G$49,MATCH(orders!$D589,Product!$A$1:$A$49,0),MATCH(orders!J$1,Product!$A$1:$G$1,0))</f>
        <v>D</v>
      </c>
      <c r="K589" s="4">
        <f>INDEX(Product!$A$1:$G$49,MATCH(orders!$D589,Product!$A$1:$A$49,0),MATCH(orders!K$1,Product!$A$1:$G$1,0))</f>
        <v>0.5</v>
      </c>
      <c r="L589" s="5">
        <f>INDEX(Product!$A$1:$G$49,MATCH(orders!$D589,Product!$A$1:$A$49,0),MATCH(orders!L$1,Product!$A$1:$G$1,0))</f>
        <v>7.77</v>
      </c>
      <c r="M589" s="5">
        <f t="shared" si="9"/>
        <v>7.77</v>
      </c>
      <c r="N589" t="str" cm="1">
        <f t="array" ref="N589">_xlfn.IFS(I589="Rob", "Robusta", I589="Exc", "Excelsa", I589="Ara", "Arabica", I589="Lib", "Liberica", TRUE, "")</f>
        <v>Liberica</v>
      </c>
      <c r="O589" t="str" cm="1">
        <f t="array" ref="O589">_xlfn.IFS(J589="M", "Medium", J589="L", "Light", J589="D", "Dark", TRUE, "")</f>
        <v>Dark</v>
      </c>
      <c r="P589" t="str">
        <f>_xlfn.XLOOKUP(Table1[[#This Row],[Customer ID]], customers!$A$1:$A$1001, customers!$I$1:$I$1001,, 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INDEX(Product!$A$1:$G$49,MATCH(orders!$D590,Product!$A$1:$A$49,0),MATCH(orders!I$1,Product!$A$1:$G$1,0))</f>
        <v>Rob</v>
      </c>
      <c r="J590" t="str">
        <f>INDEX(Product!$A$1:$G$49,MATCH(orders!$D590,Product!$A$1:$A$49,0),MATCH(orders!J$1,Product!$A$1:$G$1,0))</f>
        <v>M</v>
      </c>
      <c r="K590" s="4">
        <f>INDEX(Product!$A$1:$G$49,MATCH(orders!$D590,Product!$A$1:$A$49,0),MATCH(orders!K$1,Product!$A$1:$G$1,0))</f>
        <v>0.5</v>
      </c>
      <c r="L590" s="5">
        <f>INDEX(Product!$A$1:$G$49,MATCH(orders!$D590,Product!$A$1:$A$49,0),MATCH(orders!L$1,Product!$A$1:$G$1,0))</f>
        <v>5.97</v>
      </c>
      <c r="M590" s="5">
        <f t="shared" si="9"/>
        <v>11.94</v>
      </c>
      <c r="N590" t="str" cm="1">
        <f t="array" ref="N590">_xlfn.IFS(I590="Rob", "Robusta", I590="Exc", "Excelsa", I590="Ara", "Arabica", I590="Lib", "Liberica", TRUE, "")</f>
        <v>Robusta</v>
      </c>
      <c r="O590" t="str" cm="1">
        <f t="array" ref="O590">_xlfn.IFS(J590="M", "Medium", J590="L", "Light", J590="D", "Dark", TRUE, "")</f>
        <v>Medium</v>
      </c>
      <c r="P590" t="str">
        <f>_xlfn.XLOOKUP(Table1[[#This Row],[Customer ID]], customers!$A$1:$A$1001, customers!$I$1:$I$1001,, 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INDEX(Product!$A$1:$G$49,MATCH(orders!$D591,Product!$A$1:$A$49,0),MATCH(orders!I$1,Product!$A$1:$G$1,0))</f>
        <v>Exc</v>
      </c>
      <c r="J591" t="str">
        <f>INDEX(Product!$A$1:$G$49,MATCH(orders!$D591,Product!$A$1:$A$49,0),MATCH(orders!J$1,Product!$A$1:$G$1,0))</f>
        <v>L</v>
      </c>
      <c r="K591" s="4">
        <f>INDEX(Product!$A$1:$G$49,MATCH(orders!$D591,Product!$A$1:$A$49,0),MATCH(orders!K$1,Product!$A$1:$G$1,0))</f>
        <v>2.5</v>
      </c>
      <c r="L591" s="5">
        <f>INDEX(Product!$A$1:$G$49,MATCH(orders!$D591,Product!$A$1:$A$49,0),MATCH(orders!L$1,Product!$A$1:$G$1,0))</f>
        <v>34.154999999999994</v>
      </c>
      <c r="M591" s="5">
        <f t="shared" si="9"/>
        <v>204.92999999999995</v>
      </c>
      <c r="N591" t="str" cm="1">
        <f t="array" ref="N591">_xlfn.IFS(I591="Rob", "Robusta", I591="Exc", "Excelsa", I591="Ara", "Arabica", I591="Lib", "Liberica", TRUE, "")</f>
        <v>Excelsa</v>
      </c>
      <c r="O591" t="str" cm="1">
        <f t="array" ref="O591">_xlfn.IFS(J591="M", "Medium", J591="L", "Light", J591="D", "Dark", TRUE, "")</f>
        <v>Light</v>
      </c>
      <c r="P591" t="str">
        <f>_xlfn.XLOOKUP(Table1[[#This Row],[Customer ID]], customers!$A$1:$A$1001, customers!$I$1:$I$1001,, 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INDEX(Product!$A$1:$G$49,MATCH(orders!$D592,Product!$A$1:$A$49,0),MATCH(orders!I$1,Product!$A$1:$G$1,0))</f>
        <v>Exc</v>
      </c>
      <c r="J592" t="str">
        <f>INDEX(Product!$A$1:$G$49,MATCH(orders!$D592,Product!$A$1:$A$49,0),MATCH(orders!J$1,Product!$A$1:$G$1,0))</f>
        <v>M</v>
      </c>
      <c r="K592" s="4">
        <f>INDEX(Product!$A$1:$G$49,MATCH(orders!$D592,Product!$A$1:$A$49,0),MATCH(orders!K$1,Product!$A$1:$G$1,0))</f>
        <v>2.5</v>
      </c>
      <c r="L592" s="5">
        <f>INDEX(Product!$A$1:$G$49,MATCH(orders!$D592,Product!$A$1:$A$49,0),MATCH(orders!L$1,Product!$A$1:$G$1,0))</f>
        <v>31.624999999999996</v>
      </c>
      <c r="M592" s="5">
        <f t="shared" si="9"/>
        <v>63.249999999999993</v>
      </c>
      <c r="N592" t="str" cm="1">
        <f t="array" ref="N592">_xlfn.IFS(I592="Rob", "Robusta", I592="Exc", "Excelsa", I592="Ara", "Arabica", I592="Lib", "Liberica", TRUE, "")</f>
        <v>Excelsa</v>
      </c>
      <c r="O592" t="str" cm="1">
        <f t="array" ref="O592">_xlfn.IFS(J592="M", "Medium", J592="L", "Light", J592="D", "Dark", TRUE, "")</f>
        <v>Medium</v>
      </c>
      <c r="P592" t="str">
        <f>_xlfn.XLOOKUP(Table1[[#This Row],[Customer ID]], customers!$A$1:$A$1001, customers!$I$1:$I$1001,, 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INDEX(Product!$A$1:$G$49,MATCH(orders!$D593,Product!$A$1:$A$49,0),MATCH(orders!I$1,Product!$A$1:$G$1,0))</f>
        <v>Rob</v>
      </c>
      <c r="J593" t="str">
        <f>INDEX(Product!$A$1:$G$49,MATCH(orders!$D593,Product!$A$1:$A$49,0),MATCH(orders!J$1,Product!$A$1:$G$1,0))</f>
        <v>D</v>
      </c>
      <c r="K593" s="4">
        <f>INDEX(Product!$A$1:$G$49,MATCH(orders!$D593,Product!$A$1:$A$49,0),MATCH(orders!K$1,Product!$A$1:$G$1,0))</f>
        <v>0.2</v>
      </c>
      <c r="L593" s="5">
        <f>INDEX(Product!$A$1:$G$49,MATCH(orders!$D593,Product!$A$1:$A$49,0),MATCH(orders!L$1,Product!$A$1:$G$1,0))</f>
        <v>2.6849999999999996</v>
      </c>
      <c r="M593" s="5">
        <f t="shared" si="9"/>
        <v>8.0549999999999997</v>
      </c>
      <c r="N593" t="str" cm="1">
        <f t="array" ref="N593">_xlfn.IFS(I593="Rob", "Robusta", I593="Exc", "Excelsa", I593="Ara", "Arabica", I593="Lib", "Liberica", TRUE, "")</f>
        <v>Robusta</v>
      </c>
      <c r="O593" t="str" cm="1">
        <f t="array" ref="O593">_xlfn.IFS(J593="M", "Medium", J593="L", "Light", J593="D", "Dark", TRUE, "")</f>
        <v>Dark</v>
      </c>
      <c r="P593" t="str">
        <f>_xlfn.XLOOKUP(Table1[[#This Row],[Customer ID]], customers!$A$1:$A$1001, customers!$I$1:$I$1001,, 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INDEX(Product!$A$1:$G$49,MATCH(orders!$D594,Product!$A$1:$A$49,0),MATCH(orders!I$1,Product!$A$1:$G$1,0))</f>
        <v>Ara</v>
      </c>
      <c r="J594" t="str">
        <f>INDEX(Product!$A$1:$G$49,MATCH(orders!$D594,Product!$A$1:$A$49,0),MATCH(orders!J$1,Product!$A$1:$G$1,0))</f>
        <v>M</v>
      </c>
      <c r="K594" s="4">
        <f>INDEX(Product!$A$1:$G$49,MATCH(orders!$D594,Product!$A$1:$A$49,0),MATCH(orders!K$1,Product!$A$1:$G$1,0))</f>
        <v>2.5</v>
      </c>
      <c r="L594" s="5">
        <f>INDEX(Product!$A$1:$G$49,MATCH(orders!$D594,Product!$A$1:$A$49,0),MATCH(orders!L$1,Product!$A$1:$G$1,0))</f>
        <v>25.874999999999996</v>
      </c>
      <c r="M594" s="5">
        <f t="shared" si="9"/>
        <v>51.749999999999993</v>
      </c>
      <c r="N594" t="str" cm="1">
        <f t="array" ref="N594">_xlfn.IFS(I594="Rob", "Robusta", I594="Exc", "Excelsa", I594="Ara", "Arabica", I594="Lib", "Liberica", TRUE, "")</f>
        <v>Arabica</v>
      </c>
      <c r="O594" t="str" cm="1">
        <f t="array" ref="O594">_xlfn.IFS(J594="M", "Medium", J594="L", "Light", J594="D", "Dark", TRUE, "")</f>
        <v>Medium</v>
      </c>
      <c r="P594" t="str">
        <f>_xlfn.XLOOKUP(Table1[[#This Row],[Customer ID]], customers!$A$1:$A$1001, customers!$I$1:$I$1001,, 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INDEX(Product!$A$1:$G$49,MATCH(orders!$D595,Product!$A$1:$A$49,0),MATCH(orders!I$1,Product!$A$1:$G$1,0))</f>
        <v>Exc</v>
      </c>
      <c r="J595" t="str">
        <f>INDEX(Product!$A$1:$G$49,MATCH(orders!$D595,Product!$A$1:$A$49,0),MATCH(orders!J$1,Product!$A$1:$G$1,0))</f>
        <v>D</v>
      </c>
      <c r="K595" s="4">
        <f>INDEX(Product!$A$1:$G$49,MATCH(orders!$D595,Product!$A$1:$A$49,0),MATCH(orders!K$1,Product!$A$1:$G$1,0))</f>
        <v>2.5</v>
      </c>
      <c r="L595" s="5">
        <f>INDEX(Product!$A$1:$G$49,MATCH(orders!$D595,Product!$A$1:$A$49,0),MATCH(orders!L$1,Product!$A$1:$G$1,0))</f>
        <v>27.945</v>
      </c>
      <c r="M595" s="5">
        <f t="shared" si="9"/>
        <v>27.945</v>
      </c>
      <c r="N595" t="str" cm="1">
        <f t="array" ref="N595">_xlfn.IFS(I595="Rob", "Robusta", I595="Exc", "Excelsa", I595="Ara", "Arabica", I595="Lib", "Liberica", TRUE, "")</f>
        <v>Excelsa</v>
      </c>
      <c r="O595" t="str" cm="1">
        <f t="array" ref="O595">_xlfn.IFS(J595="M", "Medium", J595="L", "Light", J595="D", "Dark", TRUE, "")</f>
        <v>Dark</v>
      </c>
      <c r="P595" t="str">
        <f>_xlfn.XLOOKUP(Table1[[#This Row],[Customer ID]], customers!$A$1:$A$1001, customers!$I$1:$I$1001,, 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INDEX(Product!$A$1:$G$49,MATCH(orders!$D596,Product!$A$1:$A$49,0),MATCH(orders!I$1,Product!$A$1:$G$1,0))</f>
        <v>Ara</v>
      </c>
      <c r="J596" t="str">
        <f>INDEX(Product!$A$1:$G$49,MATCH(orders!$D596,Product!$A$1:$A$49,0),MATCH(orders!J$1,Product!$A$1:$G$1,0))</f>
        <v>L</v>
      </c>
      <c r="K596" s="4">
        <f>INDEX(Product!$A$1:$G$49,MATCH(orders!$D596,Product!$A$1:$A$49,0),MATCH(orders!K$1,Product!$A$1:$G$1,0))</f>
        <v>2.5</v>
      </c>
      <c r="L596" s="5">
        <f>INDEX(Product!$A$1:$G$49,MATCH(orders!$D596,Product!$A$1:$A$49,0),MATCH(orders!L$1,Product!$A$1:$G$1,0))</f>
        <v>29.784999999999997</v>
      </c>
      <c r="M596" s="5">
        <f t="shared" si="9"/>
        <v>59.569999999999993</v>
      </c>
      <c r="N596" t="str" cm="1">
        <f t="array" ref="N596">_xlfn.IFS(I596="Rob", "Robusta", I596="Exc", "Excelsa", I596="Ara", "Arabica", I596="Lib", "Liberica", TRUE, "")</f>
        <v>Arabica</v>
      </c>
      <c r="O596" t="str" cm="1">
        <f t="array" ref="O596">_xlfn.IFS(J596="M", "Medium", J596="L", "Light", J596="D", "Dark", TRUE, "")</f>
        <v>Light</v>
      </c>
      <c r="P596" t="str">
        <f>_xlfn.XLOOKUP(Table1[[#This Row],[Customer ID]], customers!$A$1:$A$1001, customers!$I$1:$I$1001,, 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INDEX(Product!$A$1:$G$49,MATCH(orders!$D597,Product!$A$1:$A$49,0),MATCH(orders!I$1,Product!$A$1:$G$1,0))</f>
        <v>Exc</v>
      </c>
      <c r="J597" t="str">
        <f>INDEX(Product!$A$1:$G$49,MATCH(orders!$D597,Product!$A$1:$A$49,0),MATCH(orders!J$1,Product!$A$1:$G$1,0))</f>
        <v>L</v>
      </c>
      <c r="K597" s="4">
        <f>INDEX(Product!$A$1:$G$49,MATCH(orders!$D597,Product!$A$1:$A$49,0),MATCH(orders!K$1,Product!$A$1:$G$1,0))</f>
        <v>1</v>
      </c>
      <c r="L597" s="5">
        <f>INDEX(Product!$A$1:$G$49,MATCH(orders!$D597,Product!$A$1:$A$49,0),MATCH(orders!L$1,Product!$A$1:$G$1,0))</f>
        <v>14.85</v>
      </c>
      <c r="M597" s="5">
        <f t="shared" si="9"/>
        <v>14.85</v>
      </c>
      <c r="N597" t="str" cm="1">
        <f t="array" ref="N597">_xlfn.IFS(I597="Rob", "Robusta", I597="Exc", "Excelsa", I597="Ara", "Arabica", I597="Lib", "Liberica", TRUE, "")</f>
        <v>Excelsa</v>
      </c>
      <c r="O597" t="str" cm="1">
        <f t="array" ref="O597">_xlfn.IFS(J597="M", "Medium", J597="L", "Light", J597="D", "Dark", TRUE, "")</f>
        <v>Light</v>
      </c>
      <c r="P597" t="str">
        <f>_xlfn.XLOOKUP(Table1[[#This Row],[Customer ID]], customers!$A$1:$A$1001, customers!$I$1:$I$1001,, 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INDEX(Product!$A$1:$G$49,MATCH(orders!$D598,Product!$A$1:$A$49,0),MATCH(orders!I$1,Product!$A$1:$G$1,0))</f>
        <v>Ara</v>
      </c>
      <c r="J598" t="str">
        <f>INDEX(Product!$A$1:$G$49,MATCH(orders!$D598,Product!$A$1:$A$49,0),MATCH(orders!J$1,Product!$A$1:$G$1,0))</f>
        <v>M</v>
      </c>
      <c r="K598" s="4">
        <f>INDEX(Product!$A$1:$G$49,MATCH(orders!$D598,Product!$A$1:$A$49,0),MATCH(orders!K$1,Product!$A$1:$G$1,0))</f>
        <v>0.5</v>
      </c>
      <c r="L598" s="5">
        <f>INDEX(Product!$A$1:$G$49,MATCH(orders!$D598,Product!$A$1:$A$49,0),MATCH(orders!L$1,Product!$A$1:$G$1,0))</f>
        <v>6.75</v>
      </c>
      <c r="M598" s="5">
        <f t="shared" si="9"/>
        <v>33.75</v>
      </c>
      <c r="N598" t="str" cm="1">
        <f t="array" ref="N598">_xlfn.IFS(I598="Rob", "Robusta", I598="Exc", "Excelsa", I598="Ara", "Arabica", I598="Lib", "Liberica", TRUE, "")</f>
        <v>Arabica</v>
      </c>
      <c r="O598" t="str" cm="1">
        <f t="array" ref="O598">_xlfn.IFS(J598="M", "Medium", J598="L", "Light", J598="D", "Dark", TRUE, "")</f>
        <v>Medium</v>
      </c>
      <c r="P598" t="str">
        <f>_xlfn.XLOOKUP(Table1[[#This Row],[Customer ID]], customers!$A$1:$A$1001, customers!$I$1:$I$1001,, 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INDEX(Product!$A$1:$G$49,MATCH(orders!$D599,Product!$A$1:$A$49,0),MATCH(orders!I$1,Product!$A$1:$G$1,0))</f>
        <v>Lib</v>
      </c>
      <c r="J599" t="str">
        <f>INDEX(Product!$A$1:$G$49,MATCH(orders!$D599,Product!$A$1:$A$49,0),MATCH(orders!J$1,Product!$A$1:$G$1,0))</f>
        <v>L</v>
      </c>
      <c r="K599" s="4">
        <f>INDEX(Product!$A$1:$G$49,MATCH(orders!$D599,Product!$A$1:$A$49,0),MATCH(orders!K$1,Product!$A$1:$G$1,0))</f>
        <v>2.5</v>
      </c>
      <c r="L599" s="5">
        <f>INDEX(Product!$A$1:$G$49,MATCH(orders!$D599,Product!$A$1:$A$49,0),MATCH(orders!L$1,Product!$A$1:$G$1,0))</f>
        <v>36.454999999999998</v>
      </c>
      <c r="M599" s="5">
        <f t="shared" si="9"/>
        <v>145.82</v>
      </c>
      <c r="N599" t="str" cm="1">
        <f t="array" ref="N599">_xlfn.IFS(I599="Rob", "Robusta", I599="Exc", "Excelsa", I599="Ara", "Arabica", I599="Lib", "Liberica", TRUE, "")</f>
        <v>Liberica</v>
      </c>
      <c r="O599" t="str" cm="1">
        <f t="array" ref="O599">_xlfn.IFS(J599="M", "Medium", J599="L", "Light", J599="D", "Dark", TRUE, "")</f>
        <v>Light</v>
      </c>
      <c r="P599" t="str">
        <f>_xlfn.XLOOKUP(Table1[[#This Row],[Customer ID]], customers!$A$1:$A$1001, customers!$I$1:$I$1001,, 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INDEX(Product!$A$1:$G$49,MATCH(orders!$D600,Product!$A$1:$A$49,0),MATCH(orders!I$1,Product!$A$1:$G$1,0))</f>
        <v>Rob</v>
      </c>
      <c r="J600" t="str">
        <f>INDEX(Product!$A$1:$G$49,MATCH(orders!$D600,Product!$A$1:$A$49,0),MATCH(orders!J$1,Product!$A$1:$G$1,0))</f>
        <v>M</v>
      </c>
      <c r="K600" s="4">
        <f>INDEX(Product!$A$1:$G$49,MATCH(orders!$D600,Product!$A$1:$A$49,0),MATCH(orders!K$1,Product!$A$1:$G$1,0))</f>
        <v>0.2</v>
      </c>
      <c r="L600" s="5">
        <f>INDEX(Product!$A$1:$G$49,MATCH(orders!$D600,Product!$A$1:$A$49,0),MATCH(orders!L$1,Product!$A$1:$G$1,0))</f>
        <v>2.9849999999999999</v>
      </c>
      <c r="M600" s="5">
        <f t="shared" si="9"/>
        <v>11.94</v>
      </c>
      <c r="N600" t="str" cm="1">
        <f t="array" ref="N600">_xlfn.IFS(I600="Rob", "Robusta", I600="Exc", "Excelsa", I600="Ara", "Arabica", I600="Lib", "Liberica", TRUE, "")</f>
        <v>Robusta</v>
      </c>
      <c r="O600" t="str" cm="1">
        <f t="array" ref="O600">_xlfn.IFS(J600="M", "Medium", J600="L", "Light", J600="D", "Dark", TRUE, "")</f>
        <v>Medium</v>
      </c>
      <c r="P600" t="str">
        <f>_xlfn.XLOOKUP(Table1[[#This Row],[Customer ID]], customers!$A$1:$A$1001, customers!$I$1:$I$1001,, 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INDEX(Product!$A$1:$G$49,MATCH(orders!$D601,Product!$A$1:$A$49,0),MATCH(orders!I$1,Product!$A$1:$G$1,0))</f>
        <v>Ara</v>
      </c>
      <c r="J601" t="str">
        <f>INDEX(Product!$A$1:$G$49,MATCH(orders!$D601,Product!$A$1:$A$49,0),MATCH(orders!J$1,Product!$A$1:$G$1,0))</f>
        <v>D</v>
      </c>
      <c r="K601" s="4">
        <f>INDEX(Product!$A$1:$G$49,MATCH(orders!$D601,Product!$A$1:$A$49,0),MATCH(orders!K$1,Product!$A$1:$G$1,0))</f>
        <v>0.2</v>
      </c>
      <c r="L601" s="5">
        <f>INDEX(Product!$A$1:$G$49,MATCH(orders!$D601,Product!$A$1:$A$49,0),MATCH(orders!L$1,Product!$A$1:$G$1,0))</f>
        <v>2.9849999999999999</v>
      </c>
      <c r="M601" s="5">
        <f t="shared" si="9"/>
        <v>11.94</v>
      </c>
      <c r="N601" t="str" cm="1">
        <f t="array" ref="N601">_xlfn.IFS(I601="Rob", "Robusta", I601="Exc", "Excelsa", I601="Ara", "Arabica", I601="Lib", "Liberica", TRUE, "")</f>
        <v>Arabica</v>
      </c>
      <c r="O601" t="str" cm="1">
        <f t="array" ref="O601">_xlfn.IFS(J601="M", "Medium", J601="L", "Light", J601="D", "Dark", TRUE, "")</f>
        <v>Dark</v>
      </c>
      <c r="P601" t="str">
        <f>_xlfn.XLOOKUP(Table1[[#This Row],[Customer ID]], customers!$A$1:$A$1001, customers!$I$1:$I$1001,, 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INDEX(Product!$A$1:$G$49,MATCH(orders!$D602,Product!$A$1:$A$49,0),MATCH(orders!I$1,Product!$A$1:$G$1,0))</f>
        <v>Lib</v>
      </c>
      <c r="J602" t="str">
        <f>INDEX(Product!$A$1:$G$49,MATCH(orders!$D602,Product!$A$1:$A$49,0),MATCH(orders!J$1,Product!$A$1:$G$1,0))</f>
        <v>D</v>
      </c>
      <c r="K602" s="4">
        <f>INDEX(Product!$A$1:$G$49,MATCH(orders!$D602,Product!$A$1:$A$49,0),MATCH(orders!K$1,Product!$A$1:$G$1,0))</f>
        <v>0.5</v>
      </c>
      <c r="L602" s="5">
        <f>INDEX(Product!$A$1:$G$49,MATCH(orders!$D602,Product!$A$1:$A$49,0),MATCH(orders!L$1,Product!$A$1:$G$1,0))</f>
        <v>7.77</v>
      </c>
      <c r="M602" s="5">
        <f t="shared" si="9"/>
        <v>7.77</v>
      </c>
      <c r="N602" t="str" cm="1">
        <f t="array" ref="N602">_xlfn.IFS(I602="Rob", "Robusta", I602="Exc", "Excelsa", I602="Ara", "Arabica", I602="Lib", "Liberica", TRUE, "")</f>
        <v>Liberica</v>
      </c>
      <c r="O602" t="str" cm="1">
        <f t="array" ref="O602">_xlfn.IFS(J602="M", "Medium", J602="L", "Light", J602="D", "Dark", TRUE, "")</f>
        <v>Dark</v>
      </c>
      <c r="P602" t="str">
        <f>_xlfn.XLOOKUP(Table1[[#This Row],[Customer ID]], customers!$A$1:$A$1001, customers!$I$1:$I$1001,, 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INDEX(Product!$A$1:$G$49,MATCH(orders!$D603,Product!$A$1:$A$49,0),MATCH(orders!I$1,Product!$A$1:$G$1,0))</f>
        <v>Rob</v>
      </c>
      <c r="J603" t="str">
        <f>INDEX(Product!$A$1:$G$49,MATCH(orders!$D603,Product!$A$1:$A$49,0),MATCH(orders!J$1,Product!$A$1:$G$1,0))</f>
        <v>L</v>
      </c>
      <c r="K603" s="4">
        <f>INDEX(Product!$A$1:$G$49,MATCH(orders!$D603,Product!$A$1:$A$49,0),MATCH(orders!K$1,Product!$A$1:$G$1,0))</f>
        <v>2.5</v>
      </c>
      <c r="L603" s="5">
        <f>INDEX(Product!$A$1:$G$49,MATCH(orders!$D603,Product!$A$1:$A$49,0),MATCH(orders!L$1,Product!$A$1:$G$1,0))</f>
        <v>27.484999999999996</v>
      </c>
      <c r="M603" s="5">
        <f t="shared" si="9"/>
        <v>109.93999999999998</v>
      </c>
      <c r="N603" t="str" cm="1">
        <f t="array" ref="N603">_xlfn.IFS(I603="Rob", "Robusta", I603="Exc", "Excelsa", I603="Ara", "Arabica", I603="Lib", "Liberica", TRUE, "")</f>
        <v>Robusta</v>
      </c>
      <c r="O603" t="str" cm="1">
        <f t="array" ref="O603">_xlfn.IFS(J603="M", "Medium", J603="L", "Light", J603="D", "Dark", TRUE, "")</f>
        <v>Light</v>
      </c>
      <c r="P603" t="str">
        <f>_xlfn.XLOOKUP(Table1[[#This Row],[Customer ID]], customers!$A$1:$A$1001, customers!$I$1:$I$1001,, 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INDEX(Product!$A$1:$G$49,MATCH(orders!$D604,Product!$A$1:$A$49,0),MATCH(orders!I$1,Product!$A$1:$G$1,0))</f>
        <v>Exc</v>
      </c>
      <c r="J604" t="str">
        <f>INDEX(Product!$A$1:$G$49,MATCH(orders!$D604,Product!$A$1:$A$49,0),MATCH(orders!J$1,Product!$A$1:$G$1,0))</f>
        <v>L</v>
      </c>
      <c r="K604" s="4">
        <f>INDEX(Product!$A$1:$G$49,MATCH(orders!$D604,Product!$A$1:$A$49,0),MATCH(orders!K$1,Product!$A$1:$G$1,0))</f>
        <v>0.2</v>
      </c>
      <c r="L604" s="5">
        <f>INDEX(Product!$A$1:$G$49,MATCH(orders!$D604,Product!$A$1:$A$49,0),MATCH(orders!L$1,Product!$A$1:$G$1,0))</f>
        <v>4.4550000000000001</v>
      </c>
      <c r="M604" s="5">
        <f t="shared" si="9"/>
        <v>22.274999999999999</v>
      </c>
      <c r="N604" t="str" cm="1">
        <f t="array" ref="N604">_xlfn.IFS(I604="Rob", "Robusta", I604="Exc", "Excelsa", I604="Ara", "Arabica", I604="Lib", "Liberica", TRUE, "")</f>
        <v>Excelsa</v>
      </c>
      <c r="O604" t="str" cm="1">
        <f t="array" ref="O604">_xlfn.IFS(J604="M", "Medium", J604="L", "Light", J604="D", "Dark", TRUE, "")</f>
        <v>Light</v>
      </c>
      <c r="P604" t="str">
        <f>_xlfn.XLOOKUP(Table1[[#This Row],[Customer ID]], customers!$A$1:$A$1001, customers!$I$1:$I$1001,, 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INDEX(Product!$A$1:$G$49,MATCH(orders!$D605,Product!$A$1:$A$49,0),MATCH(orders!I$1,Product!$A$1:$G$1,0))</f>
        <v>Rob</v>
      </c>
      <c r="J605" t="str">
        <f>INDEX(Product!$A$1:$G$49,MATCH(orders!$D605,Product!$A$1:$A$49,0),MATCH(orders!J$1,Product!$A$1:$G$1,0))</f>
        <v>M</v>
      </c>
      <c r="K605" s="4">
        <f>INDEX(Product!$A$1:$G$49,MATCH(orders!$D605,Product!$A$1:$A$49,0),MATCH(orders!K$1,Product!$A$1:$G$1,0))</f>
        <v>0.2</v>
      </c>
      <c r="L605" s="5">
        <f>INDEX(Product!$A$1:$G$49,MATCH(orders!$D605,Product!$A$1:$A$49,0),MATCH(orders!L$1,Product!$A$1:$G$1,0))</f>
        <v>2.9849999999999999</v>
      </c>
      <c r="M605" s="5">
        <f t="shared" si="9"/>
        <v>8.9550000000000001</v>
      </c>
      <c r="N605" t="str" cm="1">
        <f t="array" ref="N605">_xlfn.IFS(I605="Rob", "Robusta", I605="Exc", "Excelsa", I605="Ara", "Arabica", I605="Lib", "Liberica", TRUE, "")</f>
        <v>Robusta</v>
      </c>
      <c r="O605" t="str" cm="1">
        <f t="array" ref="O605">_xlfn.IFS(J605="M", "Medium", J605="L", "Light", J605="D", "Dark", TRUE, "")</f>
        <v>Medium</v>
      </c>
      <c r="P605" t="str">
        <f>_xlfn.XLOOKUP(Table1[[#This Row],[Customer ID]], customers!$A$1:$A$1001, customers!$I$1:$I$1001,, 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INDEX(Product!$A$1:$G$49,MATCH(orders!$D606,Product!$A$1:$A$49,0),MATCH(orders!I$1,Product!$A$1:$G$1,0))</f>
        <v>Lib</v>
      </c>
      <c r="J606" t="str">
        <f>INDEX(Product!$A$1:$G$49,MATCH(orders!$D606,Product!$A$1:$A$49,0),MATCH(orders!J$1,Product!$A$1:$G$1,0))</f>
        <v>D</v>
      </c>
      <c r="K606" s="4">
        <f>INDEX(Product!$A$1:$G$49,MATCH(orders!$D606,Product!$A$1:$A$49,0),MATCH(orders!K$1,Product!$A$1:$G$1,0))</f>
        <v>2.5</v>
      </c>
      <c r="L606" s="5">
        <f>INDEX(Product!$A$1:$G$49,MATCH(orders!$D606,Product!$A$1:$A$49,0),MATCH(orders!L$1,Product!$A$1:$G$1,0))</f>
        <v>29.784999999999997</v>
      </c>
      <c r="M606" s="5">
        <f t="shared" si="9"/>
        <v>119.13999999999999</v>
      </c>
      <c r="N606" t="str" cm="1">
        <f t="array" ref="N606">_xlfn.IFS(I606="Rob", "Robusta", I606="Exc", "Excelsa", I606="Ara", "Arabica", I606="Lib", "Liberica", TRUE, "")</f>
        <v>Liberica</v>
      </c>
      <c r="O606" t="str" cm="1">
        <f t="array" ref="O606">_xlfn.IFS(J606="M", "Medium", J606="L", "Light", J606="D", "Dark", TRUE, "")</f>
        <v>Dark</v>
      </c>
      <c r="P606" t="str">
        <f>_xlfn.XLOOKUP(Table1[[#This Row],[Customer ID]], customers!$A$1:$A$1001, customers!$I$1:$I$1001,, 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INDEX(Product!$A$1:$G$49,MATCH(orders!$D607,Product!$A$1:$A$49,0),MATCH(orders!I$1,Product!$A$1:$G$1,0))</f>
        <v>Ara</v>
      </c>
      <c r="J607" t="str">
        <f>INDEX(Product!$A$1:$G$49,MATCH(orders!$D607,Product!$A$1:$A$49,0),MATCH(orders!J$1,Product!$A$1:$G$1,0))</f>
        <v>L</v>
      </c>
      <c r="K607" s="4">
        <f>INDEX(Product!$A$1:$G$49,MATCH(orders!$D607,Product!$A$1:$A$49,0),MATCH(orders!K$1,Product!$A$1:$G$1,0))</f>
        <v>2.5</v>
      </c>
      <c r="L607" s="5">
        <f>INDEX(Product!$A$1:$G$49,MATCH(orders!$D607,Product!$A$1:$A$49,0),MATCH(orders!L$1,Product!$A$1:$G$1,0))</f>
        <v>29.784999999999997</v>
      </c>
      <c r="M607" s="5">
        <f t="shared" si="9"/>
        <v>148.92499999999998</v>
      </c>
      <c r="N607" t="str" cm="1">
        <f t="array" ref="N607">_xlfn.IFS(I607="Rob", "Robusta", I607="Exc", "Excelsa", I607="Ara", "Arabica", I607="Lib", "Liberica", TRUE, "")</f>
        <v>Arabica</v>
      </c>
      <c r="O607" t="str" cm="1">
        <f t="array" ref="O607">_xlfn.IFS(J607="M", "Medium", J607="L", "Light", J607="D", "Dark", TRUE, "")</f>
        <v>Light</v>
      </c>
      <c r="P607" t="str">
        <f>_xlfn.XLOOKUP(Table1[[#This Row],[Customer ID]], customers!$A$1:$A$1001, customers!$I$1:$I$1001,, 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INDEX(Product!$A$1:$G$49,MATCH(orders!$D608,Product!$A$1:$A$49,0),MATCH(orders!I$1,Product!$A$1:$G$1,0))</f>
        <v>Lib</v>
      </c>
      <c r="J608" t="str">
        <f>INDEX(Product!$A$1:$G$49,MATCH(orders!$D608,Product!$A$1:$A$49,0),MATCH(orders!J$1,Product!$A$1:$G$1,0))</f>
        <v>L</v>
      </c>
      <c r="K608" s="4">
        <f>INDEX(Product!$A$1:$G$49,MATCH(orders!$D608,Product!$A$1:$A$49,0),MATCH(orders!K$1,Product!$A$1:$G$1,0))</f>
        <v>2.5</v>
      </c>
      <c r="L608" s="5">
        <f>INDEX(Product!$A$1:$G$49,MATCH(orders!$D608,Product!$A$1:$A$49,0),MATCH(orders!L$1,Product!$A$1:$G$1,0))</f>
        <v>36.454999999999998</v>
      </c>
      <c r="M608" s="5">
        <f t="shared" si="9"/>
        <v>109.36499999999999</v>
      </c>
      <c r="N608" t="str" cm="1">
        <f t="array" ref="N608">_xlfn.IFS(I608="Rob", "Robusta", I608="Exc", "Excelsa", I608="Ara", "Arabica", I608="Lib", "Liberica", TRUE, "")</f>
        <v>Liberica</v>
      </c>
      <c r="O608" t="str" cm="1">
        <f t="array" ref="O608">_xlfn.IFS(J608="M", "Medium", J608="L", "Light", J608="D", "Dark", TRUE, "")</f>
        <v>Light</v>
      </c>
      <c r="P608" t="str">
        <f>_xlfn.XLOOKUP(Table1[[#This Row],[Customer ID]], customers!$A$1:$A$1001, customers!$I$1:$I$1001,, 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INDEX(Product!$A$1:$G$49,MATCH(orders!$D609,Product!$A$1:$A$49,0),MATCH(orders!I$1,Product!$A$1:$G$1,0))</f>
        <v>Exc</v>
      </c>
      <c r="J609" t="str">
        <f>INDEX(Product!$A$1:$G$49,MATCH(orders!$D609,Product!$A$1:$A$49,0),MATCH(orders!J$1,Product!$A$1:$G$1,0))</f>
        <v>D</v>
      </c>
      <c r="K609" s="4">
        <f>INDEX(Product!$A$1:$G$49,MATCH(orders!$D609,Product!$A$1:$A$49,0),MATCH(orders!K$1,Product!$A$1:$G$1,0))</f>
        <v>0.2</v>
      </c>
      <c r="L609" s="5">
        <f>INDEX(Product!$A$1:$G$49,MATCH(orders!$D609,Product!$A$1:$A$49,0),MATCH(orders!L$1,Product!$A$1:$G$1,0))</f>
        <v>3.645</v>
      </c>
      <c r="M609" s="5">
        <f t="shared" si="9"/>
        <v>3.645</v>
      </c>
      <c r="N609" t="str" cm="1">
        <f t="array" ref="N609">_xlfn.IFS(I609="Rob", "Robusta", I609="Exc", "Excelsa", I609="Ara", "Arabica", I609="Lib", "Liberica", TRUE, "")</f>
        <v>Excelsa</v>
      </c>
      <c r="O609" t="str" cm="1">
        <f t="array" ref="O609">_xlfn.IFS(J609="M", "Medium", J609="L", "Light", J609="D", "Dark", TRUE, "")</f>
        <v>Dark</v>
      </c>
      <c r="P609" t="str">
        <f>_xlfn.XLOOKUP(Table1[[#This Row],[Customer ID]], customers!$A$1:$A$1001, customers!$I$1:$I$1001,, 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INDEX(Product!$A$1:$G$49,MATCH(orders!$D610,Product!$A$1:$A$49,0),MATCH(orders!I$1,Product!$A$1:$G$1,0))</f>
        <v>Exc</v>
      </c>
      <c r="J610" t="str">
        <f>INDEX(Product!$A$1:$G$49,MATCH(orders!$D610,Product!$A$1:$A$49,0),MATCH(orders!J$1,Product!$A$1:$G$1,0))</f>
        <v>D</v>
      </c>
      <c r="K610" s="4">
        <f>INDEX(Product!$A$1:$G$49,MATCH(orders!$D610,Product!$A$1:$A$49,0),MATCH(orders!K$1,Product!$A$1:$G$1,0))</f>
        <v>2.5</v>
      </c>
      <c r="L610" s="5">
        <f>INDEX(Product!$A$1:$G$49,MATCH(orders!$D610,Product!$A$1:$A$49,0),MATCH(orders!L$1,Product!$A$1:$G$1,0))</f>
        <v>27.945</v>
      </c>
      <c r="M610" s="5">
        <f t="shared" si="9"/>
        <v>55.89</v>
      </c>
      <c r="N610" t="str" cm="1">
        <f t="array" ref="N610">_xlfn.IFS(I610="Rob", "Robusta", I610="Exc", "Excelsa", I610="Ara", "Arabica", I610="Lib", "Liberica", TRUE, "")</f>
        <v>Excelsa</v>
      </c>
      <c r="O610" t="str" cm="1">
        <f t="array" ref="O610">_xlfn.IFS(J610="M", "Medium", J610="L", "Light", J610="D", "Dark", TRUE, "")</f>
        <v>Dark</v>
      </c>
      <c r="P610" t="str">
        <f>_xlfn.XLOOKUP(Table1[[#This Row],[Customer ID]], customers!$A$1:$A$1001, customers!$I$1:$I$1001,, 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INDEX(Product!$A$1:$G$49,MATCH(orders!$D611,Product!$A$1:$A$49,0),MATCH(orders!I$1,Product!$A$1:$G$1,0))</f>
        <v>Lib</v>
      </c>
      <c r="J611" t="str">
        <f>INDEX(Product!$A$1:$G$49,MATCH(orders!$D611,Product!$A$1:$A$49,0),MATCH(orders!J$1,Product!$A$1:$G$1,0))</f>
        <v>M</v>
      </c>
      <c r="K611" s="4">
        <f>INDEX(Product!$A$1:$G$49,MATCH(orders!$D611,Product!$A$1:$A$49,0),MATCH(orders!K$1,Product!$A$1:$G$1,0))</f>
        <v>0.2</v>
      </c>
      <c r="L611" s="5">
        <f>INDEX(Product!$A$1:$G$49,MATCH(orders!$D611,Product!$A$1:$A$49,0),MATCH(orders!L$1,Product!$A$1:$G$1,0))</f>
        <v>4.3650000000000002</v>
      </c>
      <c r="M611" s="5">
        <f t="shared" si="9"/>
        <v>26.19</v>
      </c>
      <c r="N611" t="str" cm="1">
        <f t="array" ref="N611">_xlfn.IFS(I611="Rob", "Robusta", I611="Exc", "Excelsa", I611="Ara", "Arabica", I611="Lib", "Liberica", TRUE, "")</f>
        <v>Liberica</v>
      </c>
      <c r="O611" t="str" cm="1">
        <f t="array" ref="O611">_xlfn.IFS(J611="M", "Medium", J611="L", "Light", J611="D", "Dark", TRUE, "")</f>
        <v>Medium</v>
      </c>
      <c r="P611" t="str">
        <f>_xlfn.XLOOKUP(Table1[[#This Row],[Customer ID]], customers!$A$1:$A$1001, customers!$I$1:$I$1001,, 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INDEX(Product!$A$1:$G$49,MATCH(orders!$D612,Product!$A$1:$A$49,0),MATCH(orders!I$1,Product!$A$1:$G$1,0))</f>
        <v>Rob</v>
      </c>
      <c r="J612" t="str">
        <f>INDEX(Product!$A$1:$G$49,MATCH(orders!$D612,Product!$A$1:$A$49,0),MATCH(orders!J$1,Product!$A$1:$G$1,0))</f>
        <v>M</v>
      </c>
      <c r="K612" s="4">
        <f>INDEX(Product!$A$1:$G$49,MATCH(orders!$D612,Product!$A$1:$A$49,0),MATCH(orders!K$1,Product!$A$1:$G$1,0))</f>
        <v>1</v>
      </c>
      <c r="L612" s="5">
        <f>INDEX(Product!$A$1:$G$49,MATCH(orders!$D612,Product!$A$1:$A$49,0),MATCH(orders!L$1,Product!$A$1:$G$1,0))</f>
        <v>9.9499999999999993</v>
      </c>
      <c r="M612" s="5">
        <f t="shared" si="9"/>
        <v>39.799999999999997</v>
      </c>
      <c r="N612" t="str" cm="1">
        <f t="array" ref="N612">_xlfn.IFS(I612="Rob", "Robusta", I612="Exc", "Excelsa", I612="Ara", "Arabica", I612="Lib", "Liberica", TRUE, "")</f>
        <v>Robusta</v>
      </c>
      <c r="O612" t="str" cm="1">
        <f t="array" ref="O612">_xlfn.IFS(J612="M", "Medium", J612="L", "Light", J612="D", "Dark", TRUE, "")</f>
        <v>Medium</v>
      </c>
      <c r="P612" t="str">
        <f>_xlfn.XLOOKUP(Table1[[#This Row],[Customer ID]], customers!$A$1:$A$1001, customers!$I$1:$I$1001,, 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INDEX(Product!$A$1:$G$49,MATCH(orders!$D613,Product!$A$1:$A$49,0),MATCH(orders!I$1,Product!$A$1:$G$1,0))</f>
        <v>Exc</v>
      </c>
      <c r="J613" t="str">
        <f>INDEX(Product!$A$1:$G$49,MATCH(orders!$D613,Product!$A$1:$A$49,0),MATCH(orders!J$1,Product!$A$1:$G$1,0))</f>
        <v>L</v>
      </c>
      <c r="K613" s="4">
        <f>INDEX(Product!$A$1:$G$49,MATCH(orders!$D613,Product!$A$1:$A$49,0),MATCH(orders!K$1,Product!$A$1:$G$1,0))</f>
        <v>2.5</v>
      </c>
      <c r="L613" s="5">
        <f>INDEX(Product!$A$1:$G$49,MATCH(orders!$D613,Product!$A$1:$A$49,0),MATCH(orders!L$1,Product!$A$1:$G$1,0))</f>
        <v>34.154999999999994</v>
      </c>
      <c r="M613" s="5">
        <f t="shared" si="9"/>
        <v>68.309999999999988</v>
      </c>
      <c r="N613" t="str" cm="1">
        <f t="array" ref="N613">_xlfn.IFS(I613="Rob", "Robusta", I613="Exc", "Excelsa", I613="Ara", "Arabica", I613="Lib", "Liberica", TRUE, "")</f>
        <v>Excelsa</v>
      </c>
      <c r="O613" t="str" cm="1">
        <f t="array" ref="O613">_xlfn.IFS(J613="M", "Medium", J613="L", "Light", J613="D", "Dark", TRUE, "")</f>
        <v>Light</v>
      </c>
      <c r="P613" t="str">
        <f>_xlfn.XLOOKUP(Table1[[#This Row],[Customer ID]], customers!$A$1:$A$1001, customers!$I$1:$I$1001,, 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INDEX(Product!$A$1:$G$49,MATCH(orders!$D614,Product!$A$1:$A$49,0),MATCH(orders!I$1,Product!$A$1:$G$1,0))</f>
        <v>Ara</v>
      </c>
      <c r="J614" t="str">
        <f>INDEX(Product!$A$1:$G$49,MATCH(orders!$D614,Product!$A$1:$A$49,0),MATCH(orders!J$1,Product!$A$1:$G$1,0))</f>
        <v>M</v>
      </c>
      <c r="K614" s="4">
        <f>INDEX(Product!$A$1:$G$49,MATCH(orders!$D614,Product!$A$1:$A$49,0),MATCH(orders!K$1,Product!$A$1:$G$1,0))</f>
        <v>0.2</v>
      </c>
      <c r="L614" s="5">
        <f>INDEX(Product!$A$1:$G$49,MATCH(orders!$D614,Product!$A$1:$A$49,0),MATCH(orders!L$1,Product!$A$1:$G$1,0))</f>
        <v>3.375</v>
      </c>
      <c r="M614" s="5">
        <f t="shared" si="9"/>
        <v>13.5</v>
      </c>
      <c r="N614" t="str" cm="1">
        <f t="array" ref="N614">_xlfn.IFS(I614="Rob", "Robusta", I614="Exc", "Excelsa", I614="Ara", "Arabica", I614="Lib", "Liberica", TRUE, "")</f>
        <v>Arabica</v>
      </c>
      <c r="O614" t="str" cm="1">
        <f t="array" ref="O614">_xlfn.IFS(J614="M", "Medium", J614="L", "Light", J614="D", "Dark", TRUE, "")</f>
        <v>Medium</v>
      </c>
      <c r="P614" t="str">
        <f>_xlfn.XLOOKUP(Table1[[#This Row],[Customer ID]], customers!$A$1:$A$1001, customers!$I$1:$I$1001,, 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INDEX(Product!$A$1:$G$49,MATCH(orders!$D615,Product!$A$1:$A$49,0),MATCH(orders!I$1,Product!$A$1:$G$1,0))</f>
        <v>Rob</v>
      </c>
      <c r="J615" t="str">
        <f>INDEX(Product!$A$1:$G$49,MATCH(orders!$D615,Product!$A$1:$A$49,0),MATCH(orders!J$1,Product!$A$1:$G$1,0))</f>
        <v>M</v>
      </c>
      <c r="K615" s="4">
        <f>INDEX(Product!$A$1:$G$49,MATCH(orders!$D615,Product!$A$1:$A$49,0),MATCH(orders!K$1,Product!$A$1:$G$1,0))</f>
        <v>0.5</v>
      </c>
      <c r="L615" s="5">
        <f>INDEX(Product!$A$1:$G$49,MATCH(orders!$D615,Product!$A$1:$A$49,0),MATCH(orders!L$1,Product!$A$1:$G$1,0))</f>
        <v>5.97</v>
      </c>
      <c r="M615" s="5">
        <f t="shared" si="9"/>
        <v>5.97</v>
      </c>
      <c r="N615" t="str" cm="1">
        <f t="array" ref="N615">_xlfn.IFS(I615="Rob", "Robusta", I615="Exc", "Excelsa", I615="Ara", "Arabica", I615="Lib", "Liberica", TRUE, "")</f>
        <v>Robusta</v>
      </c>
      <c r="O615" t="str" cm="1">
        <f t="array" ref="O615">_xlfn.IFS(J615="M", "Medium", J615="L", "Light", J615="D", "Dark", TRUE, "")</f>
        <v>Medium</v>
      </c>
      <c r="P615" t="str">
        <f>_xlfn.XLOOKUP(Table1[[#This Row],[Customer ID]], customers!$A$1:$A$1001, customers!$I$1:$I$1001,, 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INDEX(Product!$A$1:$G$49,MATCH(orders!$D616,Product!$A$1:$A$49,0),MATCH(orders!I$1,Product!$A$1:$G$1,0))</f>
        <v>Rob</v>
      </c>
      <c r="J616" t="str">
        <f>INDEX(Product!$A$1:$G$49,MATCH(orders!$D616,Product!$A$1:$A$49,0),MATCH(orders!J$1,Product!$A$1:$G$1,0))</f>
        <v>M</v>
      </c>
      <c r="K616" s="4">
        <f>INDEX(Product!$A$1:$G$49,MATCH(orders!$D616,Product!$A$1:$A$49,0),MATCH(orders!K$1,Product!$A$1:$G$1,0))</f>
        <v>0.5</v>
      </c>
      <c r="L616" s="5">
        <f>INDEX(Product!$A$1:$G$49,MATCH(orders!$D616,Product!$A$1:$A$49,0),MATCH(orders!L$1,Product!$A$1:$G$1,0))</f>
        <v>5.97</v>
      </c>
      <c r="M616" s="5">
        <f t="shared" si="9"/>
        <v>29.849999999999998</v>
      </c>
      <c r="N616" t="str" cm="1">
        <f t="array" ref="N616">_xlfn.IFS(I616="Rob", "Robusta", I616="Exc", "Excelsa", I616="Ara", "Arabica", I616="Lib", "Liberica", TRUE, "")</f>
        <v>Robusta</v>
      </c>
      <c r="O616" t="str" cm="1">
        <f t="array" ref="O616">_xlfn.IFS(J616="M", "Medium", J616="L", "Light", J616="D", "Dark", TRUE, "")</f>
        <v>Medium</v>
      </c>
      <c r="P616" t="str">
        <f>_xlfn.XLOOKUP(Table1[[#This Row],[Customer ID]], customers!$A$1:$A$1001, customers!$I$1:$I$1001,, 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INDEX(Product!$A$1:$G$49,MATCH(orders!$D617,Product!$A$1:$A$49,0),MATCH(orders!I$1,Product!$A$1:$G$1,0))</f>
        <v>Lib</v>
      </c>
      <c r="J617" t="str">
        <f>INDEX(Product!$A$1:$G$49,MATCH(orders!$D617,Product!$A$1:$A$49,0),MATCH(orders!J$1,Product!$A$1:$G$1,0))</f>
        <v>L</v>
      </c>
      <c r="K617" s="4">
        <f>INDEX(Product!$A$1:$G$49,MATCH(orders!$D617,Product!$A$1:$A$49,0),MATCH(orders!K$1,Product!$A$1:$G$1,0))</f>
        <v>2.5</v>
      </c>
      <c r="L617" s="5">
        <f>INDEX(Product!$A$1:$G$49,MATCH(orders!$D617,Product!$A$1:$A$49,0),MATCH(orders!L$1,Product!$A$1:$G$1,0))</f>
        <v>36.454999999999998</v>
      </c>
      <c r="M617" s="5">
        <f t="shared" si="9"/>
        <v>72.91</v>
      </c>
      <c r="N617" t="str" cm="1">
        <f t="array" ref="N617">_xlfn.IFS(I617="Rob", "Robusta", I617="Exc", "Excelsa", I617="Ara", "Arabica", I617="Lib", "Liberica", TRUE, "")</f>
        <v>Liberica</v>
      </c>
      <c r="O617" t="str" cm="1">
        <f t="array" ref="O617">_xlfn.IFS(J617="M", "Medium", J617="L", "Light", J617="D", "Dark", TRUE, "")</f>
        <v>Light</v>
      </c>
      <c r="P617" t="str">
        <f>_xlfn.XLOOKUP(Table1[[#This Row],[Customer ID]], customers!$A$1:$A$1001, customers!$I$1:$I$1001,, 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INDEX(Product!$A$1:$G$49,MATCH(orders!$D618,Product!$A$1:$A$49,0),MATCH(orders!I$1,Product!$A$1:$G$1,0))</f>
        <v>Exc</v>
      </c>
      <c r="J618" t="str">
        <f>INDEX(Product!$A$1:$G$49,MATCH(orders!$D618,Product!$A$1:$A$49,0),MATCH(orders!J$1,Product!$A$1:$G$1,0))</f>
        <v>M</v>
      </c>
      <c r="K618" s="4">
        <f>INDEX(Product!$A$1:$G$49,MATCH(orders!$D618,Product!$A$1:$A$49,0),MATCH(orders!K$1,Product!$A$1:$G$1,0))</f>
        <v>2.5</v>
      </c>
      <c r="L618" s="5">
        <f>INDEX(Product!$A$1:$G$49,MATCH(orders!$D618,Product!$A$1:$A$49,0),MATCH(orders!L$1,Product!$A$1:$G$1,0))</f>
        <v>31.624999999999996</v>
      </c>
      <c r="M618" s="5">
        <f t="shared" si="9"/>
        <v>126.49999999999999</v>
      </c>
      <c r="N618" t="str" cm="1">
        <f t="array" ref="N618">_xlfn.IFS(I618="Rob", "Robusta", I618="Exc", "Excelsa", I618="Ara", "Arabica", I618="Lib", "Liberica", TRUE, "")</f>
        <v>Excelsa</v>
      </c>
      <c r="O618" t="str" cm="1">
        <f t="array" ref="O618">_xlfn.IFS(J618="M", "Medium", J618="L", "Light", J618="D", "Dark", TRUE, "")</f>
        <v>Medium</v>
      </c>
      <c r="P618" t="str">
        <f>_xlfn.XLOOKUP(Table1[[#This Row],[Customer ID]], customers!$A$1:$A$1001, customers!$I$1:$I$1001,, 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INDEX(Product!$A$1:$G$49,MATCH(orders!$D619,Product!$A$1:$A$49,0),MATCH(orders!I$1,Product!$A$1:$G$1,0))</f>
        <v>Lib</v>
      </c>
      <c r="J619" t="str">
        <f>INDEX(Product!$A$1:$G$49,MATCH(orders!$D619,Product!$A$1:$A$49,0),MATCH(orders!J$1,Product!$A$1:$G$1,0))</f>
        <v>M</v>
      </c>
      <c r="K619" s="4">
        <f>INDEX(Product!$A$1:$G$49,MATCH(orders!$D619,Product!$A$1:$A$49,0),MATCH(orders!K$1,Product!$A$1:$G$1,0))</f>
        <v>2.5</v>
      </c>
      <c r="L619" s="5">
        <f>INDEX(Product!$A$1:$G$49,MATCH(orders!$D619,Product!$A$1:$A$49,0),MATCH(orders!L$1,Product!$A$1:$G$1,0))</f>
        <v>33.464999999999996</v>
      </c>
      <c r="M619" s="5">
        <f t="shared" si="9"/>
        <v>33.464999999999996</v>
      </c>
      <c r="N619" t="str" cm="1">
        <f t="array" ref="N619">_xlfn.IFS(I619="Rob", "Robusta", I619="Exc", "Excelsa", I619="Ara", "Arabica", I619="Lib", "Liberica", TRUE, "")</f>
        <v>Liberica</v>
      </c>
      <c r="O619" t="str" cm="1">
        <f t="array" ref="O619">_xlfn.IFS(J619="M", "Medium", J619="L", "Light", J619="D", "Dark", TRUE, "")</f>
        <v>Medium</v>
      </c>
      <c r="P619" t="str">
        <f>_xlfn.XLOOKUP(Table1[[#This Row],[Customer ID]], customers!$A$1:$A$1001, customers!$I$1:$I$1001,, 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INDEX(Product!$A$1:$G$49,MATCH(orders!$D620,Product!$A$1:$A$49,0),MATCH(orders!I$1,Product!$A$1:$G$1,0))</f>
        <v>Exc</v>
      </c>
      <c r="J620" t="str">
        <f>INDEX(Product!$A$1:$G$49,MATCH(orders!$D620,Product!$A$1:$A$49,0),MATCH(orders!J$1,Product!$A$1:$G$1,0))</f>
        <v>D</v>
      </c>
      <c r="K620" s="4">
        <f>INDEX(Product!$A$1:$G$49,MATCH(orders!$D620,Product!$A$1:$A$49,0),MATCH(orders!K$1,Product!$A$1:$G$1,0))</f>
        <v>1</v>
      </c>
      <c r="L620" s="5">
        <f>INDEX(Product!$A$1:$G$49,MATCH(orders!$D620,Product!$A$1:$A$49,0),MATCH(orders!L$1,Product!$A$1:$G$1,0))</f>
        <v>12.15</v>
      </c>
      <c r="M620" s="5">
        <f t="shared" si="9"/>
        <v>72.900000000000006</v>
      </c>
      <c r="N620" t="str" cm="1">
        <f t="array" ref="N620">_xlfn.IFS(I620="Rob", "Robusta", I620="Exc", "Excelsa", I620="Ara", "Arabica", I620="Lib", "Liberica", TRUE, "")</f>
        <v>Excelsa</v>
      </c>
      <c r="O620" t="str" cm="1">
        <f t="array" ref="O620">_xlfn.IFS(J620="M", "Medium", J620="L", "Light", J620="D", "Dark", TRUE, "")</f>
        <v>Dark</v>
      </c>
      <c r="P620" t="str">
        <f>_xlfn.XLOOKUP(Table1[[#This Row],[Customer ID]], customers!$A$1:$A$1001, customers!$I$1:$I$1001,, 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INDEX(Product!$A$1:$G$49,MATCH(orders!$D621,Product!$A$1:$A$49,0),MATCH(orders!I$1,Product!$A$1:$G$1,0))</f>
        <v>Lib</v>
      </c>
      <c r="J621" t="str">
        <f>INDEX(Product!$A$1:$G$49,MATCH(orders!$D621,Product!$A$1:$A$49,0),MATCH(orders!J$1,Product!$A$1:$G$1,0))</f>
        <v>D</v>
      </c>
      <c r="K621" s="4">
        <f>INDEX(Product!$A$1:$G$49,MATCH(orders!$D621,Product!$A$1:$A$49,0),MATCH(orders!K$1,Product!$A$1:$G$1,0))</f>
        <v>0.5</v>
      </c>
      <c r="L621" s="5">
        <f>INDEX(Product!$A$1:$G$49,MATCH(orders!$D621,Product!$A$1:$A$49,0),MATCH(orders!L$1,Product!$A$1:$G$1,0))</f>
        <v>7.77</v>
      </c>
      <c r="M621" s="5">
        <f t="shared" si="9"/>
        <v>15.54</v>
      </c>
      <c r="N621" t="str" cm="1">
        <f t="array" ref="N621">_xlfn.IFS(I621="Rob", "Robusta", I621="Exc", "Excelsa", I621="Ara", "Arabica", I621="Lib", "Liberica", TRUE, "")</f>
        <v>Liberica</v>
      </c>
      <c r="O621" t="str" cm="1">
        <f t="array" ref="O621">_xlfn.IFS(J621="M", "Medium", J621="L", "Light", J621="D", "Dark", TRUE, "")</f>
        <v>Dark</v>
      </c>
      <c r="P621" t="str">
        <f>_xlfn.XLOOKUP(Table1[[#This Row],[Customer ID]], customers!$A$1:$A$1001, customers!$I$1:$I$1001,, 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INDEX(Product!$A$1:$G$49,MATCH(orders!$D622,Product!$A$1:$A$49,0),MATCH(orders!I$1,Product!$A$1:$G$1,0))</f>
        <v>Ara</v>
      </c>
      <c r="J622" t="str">
        <f>INDEX(Product!$A$1:$G$49,MATCH(orders!$D622,Product!$A$1:$A$49,0),MATCH(orders!J$1,Product!$A$1:$G$1,0))</f>
        <v>M</v>
      </c>
      <c r="K622" s="4">
        <f>INDEX(Product!$A$1:$G$49,MATCH(orders!$D622,Product!$A$1:$A$49,0),MATCH(orders!K$1,Product!$A$1:$G$1,0))</f>
        <v>0.2</v>
      </c>
      <c r="L622" s="5">
        <f>INDEX(Product!$A$1:$G$49,MATCH(orders!$D622,Product!$A$1:$A$49,0),MATCH(orders!L$1,Product!$A$1:$G$1,0))</f>
        <v>3.375</v>
      </c>
      <c r="M622" s="5">
        <f t="shared" si="9"/>
        <v>20.25</v>
      </c>
      <c r="N622" t="str" cm="1">
        <f t="array" ref="N622">_xlfn.IFS(I622="Rob", "Robusta", I622="Exc", "Excelsa", I622="Ara", "Arabica", I622="Lib", "Liberica", TRUE, "")</f>
        <v>Arabica</v>
      </c>
      <c r="O622" t="str" cm="1">
        <f t="array" ref="O622">_xlfn.IFS(J622="M", "Medium", J622="L", "Light", J622="D", "Dark", TRUE, "")</f>
        <v>Medium</v>
      </c>
      <c r="P622" t="str">
        <f>_xlfn.XLOOKUP(Table1[[#This Row],[Customer ID]], customers!$A$1:$A$1001, customers!$I$1:$I$1001,, 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INDEX(Product!$A$1:$G$49,MATCH(orders!$D623,Product!$A$1:$A$49,0),MATCH(orders!I$1,Product!$A$1:$G$1,0))</f>
        <v>Ara</v>
      </c>
      <c r="J623" t="str">
        <f>INDEX(Product!$A$1:$G$49,MATCH(orders!$D623,Product!$A$1:$A$49,0),MATCH(orders!J$1,Product!$A$1:$G$1,0))</f>
        <v>L</v>
      </c>
      <c r="K623" s="4">
        <f>INDEX(Product!$A$1:$G$49,MATCH(orders!$D623,Product!$A$1:$A$49,0),MATCH(orders!K$1,Product!$A$1:$G$1,0))</f>
        <v>1</v>
      </c>
      <c r="L623" s="5">
        <f>INDEX(Product!$A$1:$G$49,MATCH(orders!$D623,Product!$A$1:$A$49,0),MATCH(orders!L$1,Product!$A$1:$G$1,0))</f>
        <v>12.95</v>
      </c>
      <c r="M623" s="5">
        <f t="shared" si="9"/>
        <v>77.699999999999989</v>
      </c>
      <c r="N623" t="str" cm="1">
        <f t="array" ref="N623">_xlfn.IFS(I623="Rob", "Robusta", I623="Exc", "Excelsa", I623="Ara", "Arabica", I623="Lib", "Liberica", TRUE, "")</f>
        <v>Arabica</v>
      </c>
      <c r="O623" t="str" cm="1">
        <f t="array" ref="O623">_xlfn.IFS(J623="M", "Medium", J623="L", "Light", J623="D", "Dark", TRUE, "")</f>
        <v>Light</v>
      </c>
      <c r="P623" t="str">
        <f>_xlfn.XLOOKUP(Table1[[#This Row],[Customer ID]], customers!$A$1:$A$1001, customers!$I$1:$I$1001,, 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INDEX(Product!$A$1:$G$49,MATCH(orders!$D624,Product!$A$1:$A$49,0),MATCH(orders!I$1,Product!$A$1:$G$1,0))</f>
        <v>Lib</v>
      </c>
      <c r="J624" t="str">
        <f>INDEX(Product!$A$1:$G$49,MATCH(orders!$D624,Product!$A$1:$A$49,0),MATCH(orders!J$1,Product!$A$1:$G$1,0))</f>
        <v>M</v>
      </c>
      <c r="K624" s="4">
        <f>INDEX(Product!$A$1:$G$49,MATCH(orders!$D624,Product!$A$1:$A$49,0),MATCH(orders!K$1,Product!$A$1:$G$1,0))</f>
        <v>2.5</v>
      </c>
      <c r="L624" s="5">
        <f>INDEX(Product!$A$1:$G$49,MATCH(orders!$D624,Product!$A$1:$A$49,0),MATCH(orders!L$1,Product!$A$1:$G$1,0))</f>
        <v>33.464999999999996</v>
      </c>
      <c r="M624" s="5">
        <f t="shared" si="9"/>
        <v>133.85999999999999</v>
      </c>
      <c r="N624" t="str" cm="1">
        <f t="array" ref="N624">_xlfn.IFS(I624="Rob", "Robusta", I624="Exc", "Excelsa", I624="Ara", "Arabica", I624="Lib", "Liberica", TRUE, "")</f>
        <v>Liberica</v>
      </c>
      <c r="O624" t="str" cm="1">
        <f t="array" ref="O624">_xlfn.IFS(J624="M", "Medium", J624="L", "Light", J624="D", "Dark", TRUE, "")</f>
        <v>Medium</v>
      </c>
      <c r="P624" t="str">
        <f>_xlfn.XLOOKUP(Table1[[#This Row],[Customer ID]], customers!$A$1:$A$1001, customers!$I$1:$I$1001,, 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INDEX(Product!$A$1:$G$49,MATCH(orders!$D625,Product!$A$1:$A$49,0),MATCH(orders!I$1,Product!$A$1:$G$1,0))</f>
        <v>Exc</v>
      </c>
      <c r="J625" t="str">
        <f>INDEX(Product!$A$1:$G$49,MATCH(orders!$D625,Product!$A$1:$A$49,0),MATCH(orders!J$1,Product!$A$1:$G$1,0))</f>
        <v>D</v>
      </c>
      <c r="K625" s="4">
        <f>INDEX(Product!$A$1:$G$49,MATCH(orders!$D625,Product!$A$1:$A$49,0),MATCH(orders!K$1,Product!$A$1:$G$1,0))</f>
        <v>1</v>
      </c>
      <c r="L625" s="5">
        <f>INDEX(Product!$A$1:$G$49,MATCH(orders!$D625,Product!$A$1:$A$49,0),MATCH(orders!L$1,Product!$A$1:$G$1,0))</f>
        <v>12.15</v>
      </c>
      <c r="M625" s="5">
        <f t="shared" si="9"/>
        <v>12.15</v>
      </c>
      <c r="N625" t="str" cm="1">
        <f t="array" ref="N625">_xlfn.IFS(I625="Rob", "Robusta", I625="Exc", "Excelsa", I625="Ara", "Arabica", I625="Lib", "Liberica", TRUE, "")</f>
        <v>Excelsa</v>
      </c>
      <c r="O625" t="str" cm="1">
        <f t="array" ref="O625">_xlfn.IFS(J625="M", "Medium", J625="L", "Light", J625="D", "Dark", TRUE, "")</f>
        <v>Dark</v>
      </c>
      <c r="P625" t="str">
        <f>_xlfn.XLOOKUP(Table1[[#This Row],[Customer ID]], customers!$A$1:$A$1001, customers!$I$1:$I$1001,, 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INDEX(Product!$A$1:$G$49,MATCH(orders!$D626,Product!$A$1:$A$49,0),MATCH(orders!I$1,Product!$A$1:$G$1,0))</f>
        <v>Exc</v>
      </c>
      <c r="J626" t="str">
        <f>INDEX(Product!$A$1:$G$49,MATCH(orders!$D626,Product!$A$1:$A$49,0),MATCH(orders!J$1,Product!$A$1:$G$1,0))</f>
        <v>M</v>
      </c>
      <c r="K626" s="4">
        <f>INDEX(Product!$A$1:$G$49,MATCH(orders!$D626,Product!$A$1:$A$49,0),MATCH(orders!K$1,Product!$A$1:$G$1,0))</f>
        <v>2.5</v>
      </c>
      <c r="L626" s="5">
        <f>INDEX(Product!$A$1:$G$49,MATCH(orders!$D626,Product!$A$1:$A$49,0),MATCH(orders!L$1,Product!$A$1:$G$1,0))</f>
        <v>31.624999999999996</v>
      </c>
      <c r="M626" s="5">
        <f t="shared" si="9"/>
        <v>63.249999999999993</v>
      </c>
      <c r="N626" t="str" cm="1">
        <f t="array" ref="N626">_xlfn.IFS(I626="Rob", "Robusta", I626="Exc", "Excelsa", I626="Ara", "Arabica", I626="Lib", "Liberica", TRUE, "")</f>
        <v>Excelsa</v>
      </c>
      <c r="O626" t="str" cm="1">
        <f t="array" ref="O626">_xlfn.IFS(J626="M", "Medium", J626="L", "Light", J626="D", "Dark", TRUE, "")</f>
        <v>Medium</v>
      </c>
      <c r="P626" t="str">
        <f>_xlfn.XLOOKUP(Table1[[#This Row],[Customer ID]], customers!$A$1:$A$1001, customers!$I$1:$I$1001,, 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INDEX(Product!$A$1:$G$49,MATCH(orders!$D627,Product!$A$1:$A$49,0),MATCH(orders!I$1,Product!$A$1:$G$1,0))</f>
        <v>Rob</v>
      </c>
      <c r="J627" t="str">
        <f>INDEX(Product!$A$1:$G$49,MATCH(orders!$D627,Product!$A$1:$A$49,0),MATCH(orders!J$1,Product!$A$1:$G$1,0))</f>
        <v>L</v>
      </c>
      <c r="K627" s="4">
        <f>INDEX(Product!$A$1:$G$49,MATCH(orders!$D627,Product!$A$1:$A$49,0),MATCH(orders!K$1,Product!$A$1:$G$1,0))</f>
        <v>0.5</v>
      </c>
      <c r="L627" s="5">
        <f>INDEX(Product!$A$1:$G$49,MATCH(orders!$D627,Product!$A$1:$A$49,0),MATCH(orders!L$1,Product!$A$1:$G$1,0))</f>
        <v>7.169999999999999</v>
      </c>
      <c r="M627" s="5">
        <f t="shared" si="9"/>
        <v>35.849999999999994</v>
      </c>
      <c r="N627" t="str" cm="1">
        <f t="array" ref="N627">_xlfn.IFS(I627="Rob", "Robusta", I627="Exc", "Excelsa", I627="Ara", "Arabica", I627="Lib", "Liberica", TRUE, "")</f>
        <v>Robusta</v>
      </c>
      <c r="O627" t="str" cm="1">
        <f t="array" ref="O627">_xlfn.IFS(J627="M", "Medium", J627="L", "Light", J627="D", "Dark", TRUE, "")</f>
        <v>Light</v>
      </c>
      <c r="P627" t="str">
        <f>_xlfn.XLOOKUP(Table1[[#This Row],[Customer ID]], customers!$A$1:$A$1001, customers!$I$1:$I$1001,, 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INDEX(Product!$A$1:$G$49,MATCH(orders!$D628,Product!$A$1:$A$49,0),MATCH(orders!I$1,Product!$A$1:$G$1,0))</f>
        <v>Ara</v>
      </c>
      <c r="J628" t="str">
        <f>INDEX(Product!$A$1:$G$49,MATCH(orders!$D628,Product!$A$1:$A$49,0),MATCH(orders!J$1,Product!$A$1:$G$1,0))</f>
        <v>M</v>
      </c>
      <c r="K628" s="4">
        <f>INDEX(Product!$A$1:$G$49,MATCH(orders!$D628,Product!$A$1:$A$49,0),MATCH(orders!K$1,Product!$A$1:$G$1,0))</f>
        <v>2.5</v>
      </c>
      <c r="L628" s="5">
        <f>INDEX(Product!$A$1:$G$49,MATCH(orders!$D628,Product!$A$1:$A$49,0),MATCH(orders!L$1,Product!$A$1:$G$1,0))</f>
        <v>25.874999999999996</v>
      </c>
      <c r="M628" s="5">
        <f t="shared" si="9"/>
        <v>77.624999999999986</v>
      </c>
      <c r="N628" t="str" cm="1">
        <f t="array" ref="N628">_xlfn.IFS(I628="Rob", "Robusta", I628="Exc", "Excelsa", I628="Ara", "Arabica", I628="Lib", "Liberica", TRUE, "")</f>
        <v>Arabica</v>
      </c>
      <c r="O628" t="str" cm="1">
        <f t="array" ref="O628">_xlfn.IFS(J628="M", "Medium", J628="L", "Light", J628="D", "Dark", TRUE, "")</f>
        <v>Medium</v>
      </c>
      <c r="P628" t="str">
        <f>_xlfn.XLOOKUP(Table1[[#This Row],[Customer ID]], customers!$A$1:$A$1001, customers!$I$1:$I$1001,, 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INDEX(Product!$A$1:$G$49,MATCH(orders!$D629,Product!$A$1:$A$49,0),MATCH(orders!I$1,Product!$A$1:$G$1,0))</f>
        <v>Exc</v>
      </c>
      <c r="J629" t="str">
        <f>INDEX(Product!$A$1:$G$49,MATCH(orders!$D629,Product!$A$1:$A$49,0),MATCH(orders!J$1,Product!$A$1:$G$1,0))</f>
        <v>M</v>
      </c>
      <c r="K629" s="4">
        <f>INDEX(Product!$A$1:$G$49,MATCH(orders!$D629,Product!$A$1:$A$49,0),MATCH(orders!K$1,Product!$A$1:$G$1,0))</f>
        <v>2.5</v>
      </c>
      <c r="L629" s="5">
        <f>INDEX(Product!$A$1:$G$49,MATCH(orders!$D629,Product!$A$1:$A$49,0),MATCH(orders!L$1,Product!$A$1:$G$1,0))</f>
        <v>31.624999999999996</v>
      </c>
      <c r="M629" s="5">
        <f t="shared" si="9"/>
        <v>63.249999999999993</v>
      </c>
      <c r="N629" t="str" cm="1">
        <f t="array" ref="N629">_xlfn.IFS(I629="Rob", "Robusta", I629="Exc", "Excelsa", I629="Ara", "Arabica", I629="Lib", "Liberica", TRUE, "")</f>
        <v>Excelsa</v>
      </c>
      <c r="O629" t="str" cm="1">
        <f t="array" ref="O629">_xlfn.IFS(J629="M", "Medium", J629="L", "Light", J629="D", "Dark", TRUE, "")</f>
        <v>Medium</v>
      </c>
      <c r="P629" t="str">
        <f>_xlfn.XLOOKUP(Table1[[#This Row],[Customer ID]], customers!$A$1:$A$1001, customers!$I$1:$I$1001,, 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INDEX(Product!$A$1:$G$49,MATCH(orders!$D630,Product!$A$1:$A$49,0),MATCH(orders!I$1,Product!$A$1:$G$1,0))</f>
        <v>Exc</v>
      </c>
      <c r="J630" t="str">
        <f>INDEX(Product!$A$1:$G$49,MATCH(orders!$D630,Product!$A$1:$A$49,0),MATCH(orders!J$1,Product!$A$1:$G$1,0))</f>
        <v>L</v>
      </c>
      <c r="K630" s="4">
        <f>INDEX(Product!$A$1:$G$49,MATCH(orders!$D630,Product!$A$1:$A$49,0),MATCH(orders!K$1,Product!$A$1:$G$1,0))</f>
        <v>0.2</v>
      </c>
      <c r="L630" s="5">
        <f>INDEX(Product!$A$1:$G$49,MATCH(orders!$D630,Product!$A$1:$A$49,0),MATCH(orders!L$1,Product!$A$1:$G$1,0))</f>
        <v>4.4550000000000001</v>
      </c>
      <c r="M630" s="5">
        <f t="shared" si="9"/>
        <v>26.73</v>
      </c>
      <c r="N630" t="str" cm="1">
        <f t="array" ref="N630">_xlfn.IFS(I630="Rob", "Robusta", I630="Exc", "Excelsa", I630="Ara", "Arabica", I630="Lib", "Liberica", TRUE, "")</f>
        <v>Excelsa</v>
      </c>
      <c r="O630" t="str" cm="1">
        <f t="array" ref="O630">_xlfn.IFS(J630="M", "Medium", J630="L", "Light", J630="D", "Dark", TRUE, "")</f>
        <v>Light</v>
      </c>
      <c r="P630" t="str">
        <f>_xlfn.XLOOKUP(Table1[[#This Row],[Customer ID]], customers!$A$1:$A$1001, customers!$I$1:$I$1001,, 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INDEX(Product!$A$1:$G$49,MATCH(orders!$D631,Product!$A$1:$A$49,0),MATCH(orders!I$1,Product!$A$1:$G$1,0))</f>
        <v>Lib</v>
      </c>
      <c r="J631" t="str">
        <f>INDEX(Product!$A$1:$G$49,MATCH(orders!$D631,Product!$A$1:$A$49,0),MATCH(orders!J$1,Product!$A$1:$G$1,0))</f>
        <v>D</v>
      </c>
      <c r="K631" s="4">
        <f>INDEX(Product!$A$1:$G$49,MATCH(orders!$D631,Product!$A$1:$A$49,0),MATCH(orders!K$1,Product!$A$1:$G$1,0))</f>
        <v>0.5</v>
      </c>
      <c r="L631" s="5">
        <f>INDEX(Product!$A$1:$G$49,MATCH(orders!$D631,Product!$A$1:$A$49,0),MATCH(orders!L$1,Product!$A$1:$G$1,0))</f>
        <v>7.77</v>
      </c>
      <c r="M631" s="5">
        <f t="shared" si="9"/>
        <v>31.08</v>
      </c>
      <c r="N631" t="str" cm="1">
        <f t="array" ref="N631">_xlfn.IFS(I631="Rob", "Robusta", I631="Exc", "Excelsa", I631="Ara", "Arabica", I631="Lib", "Liberica", TRUE, "")</f>
        <v>Liberica</v>
      </c>
      <c r="O631" t="str" cm="1">
        <f t="array" ref="O631">_xlfn.IFS(J631="M", "Medium", J631="L", "Light", J631="D", "Dark", TRUE, "")</f>
        <v>Dark</v>
      </c>
      <c r="P631" t="str">
        <f>_xlfn.XLOOKUP(Table1[[#This Row],[Customer ID]], customers!$A$1:$A$1001, customers!$I$1:$I$1001,, 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INDEX(Product!$A$1:$G$49,MATCH(orders!$D632,Product!$A$1:$A$49,0),MATCH(orders!I$1,Product!$A$1:$G$1,0))</f>
        <v>Ara</v>
      </c>
      <c r="J632" t="str">
        <f>INDEX(Product!$A$1:$G$49,MATCH(orders!$D632,Product!$A$1:$A$49,0),MATCH(orders!J$1,Product!$A$1:$G$1,0))</f>
        <v>D</v>
      </c>
      <c r="K632" s="4">
        <f>INDEX(Product!$A$1:$G$49,MATCH(orders!$D632,Product!$A$1:$A$49,0),MATCH(orders!K$1,Product!$A$1:$G$1,0))</f>
        <v>0.2</v>
      </c>
      <c r="L632" s="5">
        <f>INDEX(Product!$A$1:$G$49,MATCH(orders!$D632,Product!$A$1:$A$49,0),MATCH(orders!L$1,Product!$A$1:$G$1,0))</f>
        <v>2.9849999999999999</v>
      </c>
      <c r="M632" s="5">
        <f t="shared" si="9"/>
        <v>2.9849999999999999</v>
      </c>
      <c r="N632" t="str" cm="1">
        <f t="array" ref="N632">_xlfn.IFS(I632="Rob", "Robusta", I632="Exc", "Excelsa", I632="Ara", "Arabica", I632="Lib", "Liberica", TRUE, "")</f>
        <v>Arabica</v>
      </c>
      <c r="O632" t="str" cm="1">
        <f t="array" ref="O632">_xlfn.IFS(J632="M", "Medium", J632="L", "Light", J632="D", "Dark", TRUE, "")</f>
        <v>Dark</v>
      </c>
      <c r="P632" t="str">
        <f>_xlfn.XLOOKUP(Table1[[#This Row],[Customer ID]], customers!$A$1:$A$1001, customers!$I$1:$I$1001,, 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INDEX(Product!$A$1:$G$49,MATCH(orders!$D633,Product!$A$1:$A$49,0),MATCH(orders!I$1,Product!$A$1:$G$1,0))</f>
        <v>Rob</v>
      </c>
      <c r="J633" t="str">
        <f>INDEX(Product!$A$1:$G$49,MATCH(orders!$D633,Product!$A$1:$A$49,0),MATCH(orders!J$1,Product!$A$1:$G$1,0))</f>
        <v>D</v>
      </c>
      <c r="K633" s="4">
        <f>INDEX(Product!$A$1:$G$49,MATCH(orders!$D633,Product!$A$1:$A$49,0),MATCH(orders!K$1,Product!$A$1:$G$1,0))</f>
        <v>2.5</v>
      </c>
      <c r="L633" s="5">
        <f>INDEX(Product!$A$1:$G$49,MATCH(orders!$D633,Product!$A$1:$A$49,0),MATCH(orders!L$1,Product!$A$1:$G$1,0))</f>
        <v>20.584999999999997</v>
      </c>
      <c r="M633" s="5">
        <f t="shared" si="9"/>
        <v>102.92499999999998</v>
      </c>
      <c r="N633" t="str" cm="1">
        <f t="array" ref="N633">_xlfn.IFS(I633="Rob", "Robusta", I633="Exc", "Excelsa", I633="Ara", "Arabica", I633="Lib", "Liberica", TRUE, "")</f>
        <v>Robusta</v>
      </c>
      <c r="O633" t="str" cm="1">
        <f t="array" ref="O633">_xlfn.IFS(J633="M", "Medium", J633="L", "Light", J633="D", "Dark", TRUE, "")</f>
        <v>Dark</v>
      </c>
      <c r="P633" t="str">
        <f>_xlfn.XLOOKUP(Table1[[#This Row],[Customer ID]], customers!$A$1:$A$1001, customers!$I$1:$I$1001,, 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INDEX(Product!$A$1:$G$49,MATCH(orders!$D634,Product!$A$1:$A$49,0),MATCH(orders!I$1,Product!$A$1:$G$1,0))</f>
        <v>Exc</v>
      </c>
      <c r="J634" t="str">
        <f>INDEX(Product!$A$1:$G$49,MATCH(orders!$D634,Product!$A$1:$A$49,0),MATCH(orders!J$1,Product!$A$1:$G$1,0))</f>
        <v>L</v>
      </c>
      <c r="K634" s="4">
        <f>INDEX(Product!$A$1:$G$49,MATCH(orders!$D634,Product!$A$1:$A$49,0),MATCH(orders!K$1,Product!$A$1:$G$1,0))</f>
        <v>0.5</v>
      </c>
      <c r="L634" s="5">
        <f>INDEX(Product!$A$1:$G$49,MATCH(orders!$D634,Product!$A$1:$A$49,0),MATCH(orders!L$1,Product!$A$1:$G$1,0))</f>
        <v>8.91</v>
      </c>
      <c r="M634" s="5">
        <f t="shared" si="9"/>
        <v>35.64</v>
      </c>
      <c r="N634" t="str" cm="1">
        <f t="array" ref="N634">_xlfn.IFS(I634="Rob", "Robusta", I634="Exc", "Excelsa", I634="Ara", "Arabica", I634="Lib", "Liberica", TRUE, "")</f>
        <v>Excelsa</v>
      </c>
      <c r="O634" t="str" cm="1">
        <f t="array" ref="O634">_xlfn.IFS(J634="M", "Medium", J634="L", "Light", J634="D", "Dark", TRUE, "")</f>
        <v>Light</v>
      </c>
      <c r="P634" t="str">
        <f>_xlfn.XLOOKUP(Table1[[#This Row],[Customer ID]], customers!$A$1:$A$1001, customers!$I$1:$I$1001,, 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INDEX(Product!$A$1:$G$49,MATCH(orders!$D635,Product!$A$1:$A$49,0),MATCH(orders!I$1,Product!$A$1:$G$1,0))</f>
        <v>Rob</v>
      </c>
      <c r="J635" t="str">
        <f>INDEX(Product!$A$1:$G$49,MATCH(orders!$D635,Product!$A$1:$A$49,0),MATCH(orders!J$1,Product!$A$1:$G$1,0))</f>
        <v>L</v>
      </c>
      <c r="K635" s="4">
        <f>INDEX(Product!$A$1:$G$49,MATCH(orders!$D635,Product!$A$1:$A$49,0),MATCH(orders!K$1,Product!$A$1:$G$1,0))</f>
        <v>1</v>
      </c>
      <c r="L635" s="5">
        <f>INDEX(Product!$A$1:$G$49,MATCH(orders!$D635,Product!$A$1:$A$49,0),MATCH(orders!L$1,Product!$A$1:$G$1,0))</f>
        <v>11.95</v>
      </c>
      <c r="M635" s="5">
        <f t="shared" si="9"/>
        <v>47.8</v>
      </c>
      <c r="N635" t="str" cm="1">
        <f t="array" ref="N635">_xlfn.IFS(I635="Rob", "Robusta", I635="Exc", "Excelsa", I635="Ara", "Arabica", I635="Lib", "Liberica", TRUE, "")</f>
        <v>Robusta</v>
      </c>
      <c r="O635" t="str" cm="1">
        <f t="array" ref="O635">_xlfn.IFS(J635="M", "Medium", J635="L", "Light", J635="D", "Dark", TRUE, "")</f>
        <v>Light</v>
      </c>
      <c r="P635" t="str">
        <f>_xlfn.XLOOKUP(Table1[[#This Row],[Customer ID]], customers!$A$1:$A$1001, customers!$I$1:$I$1001,, 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INDEX(Product!$A$1:$G$49,MATCH(orders!$D636,Product!$A$1:$A$49,0),MATCH(orders!I$1,Product!$A$1:$G$1,0))</f>
        <v>Lib</v>
      </c>
      <c r="J636" t="str">
        <f>INDEX(Product!$A$1:$G$49,MATCH(orders!$D636,Product!$A$1:$A$49,0),MATCH(orders!J$1,Product!$A$1:$G$1,0))</f>
        <v>M</v>
      </c>
      <c r="K636" s="4">
        <f>INDEX(Product!$A$1:$G$49,MATCH(orders!$D636,Product!$A$1:$A$49,0),MATCH(orders!K$1,Product!$A$1:$G$1,0))</f>
        <v>1</v>
      </c>
      <c r="L636" s="5">
        <f>INDEX(Product!$A$1:$G$49,MATCH(orders!$D636,Product!$A$1:$A$49,0),MATCH(orders!L$1,Product!$A$1:$G$1,0))</f>
        <v>14.55</v>
      </c>
      <c r="M636" s="5">
        <f t="shared" si="9"/>
        <v>43.650000000000006</v>
      </c>
      <c r="N636" t="str" cm="1">
        <f t="array" ref="N636">_xlfn.IFS(I636="Rob", "Robusta", I636="Exc", "Excelsa", I636="Ara", "Arabica", I636="Lib", "Liberica", TRUE, "")</f>
        <v>Liberica</v>
      </c>
      <c r="O636" t="str" cm="1">
        <f t="array" ref="O636">_xlfn.IFS(J636="M", "Medium", J636="L", "Light", J636="D", "Dark", TRUE, "")</f>
        <v>Medium</v>
      </c>
      <c r="P636" t="str">
        <f>_xlfn.XLOOKUP(Table1[[#This Row],[Customer ID]], customers!$A$1:$A$1001, customers!$I$1:$I$1001,, 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INDEX(Product!$A$1:$G$49,MATCH(orders!$D637,Product!$A$1:$A$49,0),MATCH(orders!I$1,Product!$A$1:$G$1,0))</f>
        <v>Exc</v>
      </c>
      <c r="J637" t="str">
        <f>INDEX(Product!$A$1:$G$49,MATCH(orders!$D637,Product!$A$1:$A$49,0),MATCH(orders!J$1,Product!$A$1:$G$1,0))</f>
        <v>L</v>
      </c>
      <c r="K637" s="4">
        <f>INDEX(Product!$A$1:$G$49,MATCH(orders!$D637,Product!$A$1:$A$49,0),MATCH(orders!K$1,Product!$A$1:$G$1,0))</f>
        <v>0.5</v>
      </c>
      <c r="L637" s="5">
        <f>INDEX(Product!$A$1:$G$49,MATCH(orders!$D637,Product!$A$1:$A$49,0),MATCH(orders!L$1,Product!$A$1:$G$1,0))</f>
        <v>8.91</v>
      </c>
      <c r="M637" s="5">
        <f t="shared" si="9"/>
        <v>35.64</v>
      </c>
      <c r="N637" t="str" cm="1">
        <f t="array" ref="N637">_xlfn.IFS(I637="Rob", "Robusta", I637="Exc", "Excelsa", I637="Ara", "Arabica", I637="Lib", "Liberica", TRUE, "")</f>
        <v>Excelsa</v>
      </c>
      <c r="O637" t="str" cm="1">
        <f t="array" ref="O637">_xlfn.IFS(J637="M", "Medium", J637="L", "Light", J637="D", "Dark", TRUE, "")</f>
        <v>Light</v>
      </c>
      <c r="P637" t="str">
        <f>_xlfn.XLOOKUP(Table1[[#This Row],[Customer ID]], customers!$A$1:$A$1001, customers!$I$1:$I$1001,, 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INDEX(Product!$A$1:$G$49,MATCH(orders!$D638,Product!$A$1:$A$49,0),MATCH(orders!I$1,Product!$A$1:$G$1,0))</f>
        <v>Lib</v>
      </c>
      <c r="J638" t="str">
        <f>INDEX(Product!$A$1:$G$49,MATCH(orders!$D638,Product!$A$1:$A$49,0),MATCH(orders!J$1,Product!$A$1:$G$1,0))</f>
        <v>L</v>
      </c>
      <c r="K638" s="4">
        <f>INDEX(Product!$A$1:$G$49,MATCH(orders!$D638,Product!$A$1:$A$49,0),MATCH(orders!K$1,Product!$A$1:$G$1,0))</f>
        <v>1</v>
      </c>
      <c r="L638" s="5">
        <f>INDEX(Product!$A$1:$G$49,MATCH(orders!$D638,Product!$A$1:$A$49,0),MATCH(orders!L$1,Product!$A$1:$G$1,0))</f>
        <v>15.85</v>
      </c>
      <c r="M638" s="5">
        <f t="shared" si="9"/>
        <v>95.1</v>
      </c>
      <c r="N638" t="str" cm="1">
        <f t="array" ref="N638">_xlfn.IFS(I638="Rob", "Robusta", I638="Exc", "Excelsa", I638="Ara", "Arabica", I638="Lib", "Liberica", TRUE, "")</f>
        <v>Liberica</v>
      </c>
      <c r="O638" t="str" cm="1">
        <f t="array" ref="O638">_xlfn.IFS(J638="M", "Medium", J638="L", "Light", J638="D", "Dark", TRUE, "")</f>
        <v>Light</v>
      </c>
      <c r="P638" t="str">
        <f>_xlfn.XLOOKUP(Table1[[#This Row],[Customer ID]], customers!$A$1:$A$1001, customers!$I$1:$I$1001,, 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INDEX(Product!$A$1:$G$49,MATCH(orders!$D639,Product!$A$1:$A$49,0),MATCH(orders!I$1,Product!$A$1:$G$1,0))</f>
        <v>Exc</v>
      </c>
      <c r="J639" t="str">
        <f>INDEX(Product!$A$1:$G$49,MATCH(orders!$D639,Product!$A$1:$A$49,0),MATCH(orders!J$1,Product!$A$1:$G$1,0))</f>
        <v>M</v>
      </c>
      <c r="K639" s="4">
        <f>INDEX(Product!$A$1:$G$49,MATCH(orders!$D639,Product!$A$1:$A$49,0),MATCH(orders!K$1,Product!$A$1:$G$1,0))</f>
        <v>2.5</v>
      </c>
      <c r="L639" s="5">
        <f>INDEX(Product!$A$1:$G$49,MATCH(orders!$D639,Product!$A$1:$A$49,0),MATCH(orders!L$1,Product!$A$1:$G$1,0))</f>
        <v>31.624999999999996</v>
      </c>
      <c r="M639" s="5">
        <f t="shared" si="9"/>
        <v>31.624999999999996</v>
      </c>
      <c r="N639" t="str" cm="1">
        <f t="array" ref="N639">_xlfn.IFS(I639="Rob", "Robusta", I639="Exc", "Excelsa", I639="Ara", "Arabica", I639="Lib", "Liberica", TRUE, "")</f>
        <v>Excelsa</v>
      </c>
      <c r="O639" t="str" cm="1">
        <f t="array" ref="O639">_xlfn.IFS(J639="M", "Medium", J639="L", "Light", J639="D", "Dark", TRUE, "")</f>
        <v>Medium</v>
      </c>
      <c r="P639" t="str">
        <f>_xlfn.XLOOKUP(Table1[[#This Row],[Customer ID]], customers!$A$1:$A$1001, customers!$I$1:$I$1001,, 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INDEX(Product!$A$1:$G$49,MATCH(orders!$D640,Product!$A$1:$A$49,0),MATCH(orders!I$1,Product!$A$1:$G$1,0))</f>
        <v>Ara</v>
      </c>
      <c r="J640" t="str">
        <f>INDEX(Product!$A$1:$G$49,MATCH(orders!$D640,Product!$A$1:$A$49,0),MATCH(orders!J$1,Product!$A$1:$G$1,0))</f>
        <v>M</v>
      </c>
      <c r="K640" s="4">
        <f>INDEX(Product!$A$1:$G$49,MATCH(orders!$D640,Product!$A$1:$A$49,0),MATCH(orders!K$1,Product!$A$1:$G$1,0))</f>
        <v>2.5</v>
      </c>
      <c r="L640" s="5">
        <f>INDEX(Product!$A$1:$G$49,MATCH(orders!$D640,Product!$A$1:$A$49,0),MATCH(orders!L$1,Product!$A$1:$G$1,0))</f>
        <v>25.874999999999996</v>
      </c>
      <c r="M640" s="5">
        <f t="shared" si="9"/>
        <v>77.624999999999986</v>
      </c>
      <c r="N640" t="str" cm="1">
        <f t="array" ref="N640">_xlfn.IFS(I640="Rob", "Robusta", I640="Exc", "Excelsa", I640="Ara", "Arabica", I640="Lib", "Liberica", TRUE, "")</f>
        <v>Arabica</v>
      </c>
      <c r="O640" t="str" cm="1">
        <f t="array" ref="O640">_xlfn.IFS(J640="M", "Medium", J640="L", "Light", J640="D", "Dark", TRUE, "")</f>
        <v>Medium</v>
      </c>
      <c r="P640" t="str">
        <f>_xlfn.XLOOKUP(Table1[[#This Row],[Customer ID]], customers!$A$1:$A$1001, customers!$I$1:$I$1001,, 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INDEX(Product!$A$1:$G$49,MATCH(orders!$D641,Product!$A$1:$A$49,0),MATCH(orders!I$1,Product!$A$1:$G$1,0))</f>
        <v>Lib</v>
      </c>
      <c r="J641" t="str">
        <f>INDEX(Product!$A$1:$G$49,MATCH(orders!$D641,Product!$A$1:$A$49,0),MATCH(orders!J$1,Product!$A$1:$G$1,0))</f>
        <v>D</v>
      </c>
      <c r="K641" s="4">
        <f>INDEX(Product!$A$1:$G$49,MATCH(orders!$D641,Product!$A$1:$A$49,0),MATCH(orders!K$1,Product!$A$1:$G$1,0))</f>
        <v>0.2</v>
      </c>
      <c r="L641" s="5">
        <f>INDEX(Product!$A$1:$G$49,MATCH(orders!$D641,Product!$A$1:$A$49,0),MATCH(orders!L$1,Product!$A$1:$G$1,0))</f>
        <v>3.8849999999999998</v>
      </c>
      <c r="M641" s="5">
        <f t="shared" si="9"/>
        <v>3.8849999999999998</v>
      </c>
      <c r="N641" t="str" cm="1">
        <f t="array" ref="N641">_xlfn.IFS(I641="Rob", "Robusta", I641="Exc", "Excelsa", I641="Ara", "Arabica", I641="Lib", "Liberica", TRUE, "")</f>
        <v>Liberica</v>
      </c>
      <c r="O641" t="str" cm="1">
        <f t="array" ref="O641">_xlfn.IFS(J641="M", "Medium", J641="L", "Light", J641="D", "Dark", TRUE, "")</f>
        <v>Dark</v>
      </c>
      <c r="P641" t="str">
        <f>_xlfn.XLOOKUP(Table1[[#This Row],[Customer ID]], customers!$A$1:$A$1001, customers!$I$1:$I$1001,, 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INDEX(Product!$A$1:$G$49,MATCH(orders!$D642,Product!$A$1:$A$49,0),MATCH(orders!I$1,Product!$A$1:$G$1,0))</f>
        <v>Rob</v>
      </c>
      <c r="J642" t="str">
        <f>INDEX(Product!$A$1:$G$49,MATCH(orders!$D642,Product!$A$1:$A$49,0),MATCH(orders!J$1,Product!$A$1:$G$1,0))</f>
        <v>L</v>
      </c>
      <c r="K642" s="4">
        <f>INDEX(Product!$A$1:$G$49,MATCH(orders!$D642,Product!$A$1:$A$49,0),MATCH(orders!K$1,Product!$A$1:$G$1,0))</f>
        <v>2.5</v>
      </c>
      <c r="L642" s="5">
        <f>INDEX(Product!$A$1:$G$49,MATCH(orders!$D642,Product!$A$1:$A$49,0),MATCH(orders!L$1,Product!$A$1:$G$1,0))</f>
        <v>27.484999999999996</v>
      </c>
      <c r="M642" s="5">
        <f t="shared" ref="M642:M705" si="10">L642*E642</f>
        <v>137.42499999999998</v>
      </c>
      <c r="N642" t="str" cm="1">
        <f t="array" ref="N642">_xlfn.IFS(I642="Rob", "Robusta", I642="Exc", "Excelsa", I642="Ara", "Arabica", I642="Lib", "Liberica", TRUE, "")</f>
        <v>Robusta</v>
      </c>
      <c r="O642" t="str" cm="1">
        <f t="array" ref="O642">_xlfn.IFS(J642="M", "Medium", J642="L", "Light", J642="D", "Dark", TRUE, "")</f>
        <v>Light</v>
      </c>
      <c r="P642" t="str">
        <f>_xlfn.XLOOKUP(Table1[[#This Row],[Customer ID]], customers!$A$1:$A$1001, customers!$I$1:$I$1001,, 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INDEX(Product!$A$1:$G$49,MATCH(orders!$D643,Product!$A$1:$A$49,0),MATCH(orders!I$1,Product!$A$1:$G$1,0))</f>
        <v>Rob</v>
      </c>
      <c r="J643" t="str">
        <f>INDEX(Product!$A$1:$G$49,MATCH(orders!$D643,Product!$A$1:$A$49,0),MATCH(orders!J$1,Product!$A$1:$G$1,0))</f>
        <v>L</v>
      </c>
      <c r="K643" s="4">
        <f>INDEX(Product!$A$1:$G$49,MATCH(orders!$D643,Product!$A$1:$A$49,0),MATCH(orders!K$1,Product!$A$1:$G$1,0))</f>
        <v>1</v>
      </c>
      <c r="L643" s="5">
        <f>INDEX(Product!$A$1:$G$49,MATCH(orders!$D643,Product!$A$1:$A$49,0),MATCH(orders!L$1,Product!$A$1:$G$1,0))</f>
        <v>11.95</v>
      </c>
      <c r="M643" s="5">
        <f t="shared" si="10"/>
        <v>35.849999999999994</v>
      </c>
      <c r="N643" t="str" cm="1">
        <f t="array" ref="N643">_xlfn.IFS(I643="Rob", "Robusta", I643="Exc", "Excelsa", I643="Ara", "Arabica", I643="Lib", "Liberica", TRUE, "")</f>
        <v>Robusta</v>
      </c>
      <c r="O643" t="str" cm="1">
        <f t="array" ref="O643">_xlfn.IFS(J643="M", "Medium", J643="L", "Light", J643="D", "Dark", TRUE, "")</f>
        <v>Light</v>
      </c>
      <c r="P643" t="str">
        <f>_xlfn.XLOOKUP(Table1[[#This Row],[Customer ID]], customers!$A$1:$A$1001, customers!$I$1:$I$1001,, 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INDEX(Product!$A$1:$G$49,MATCH(orders!$D644,Product!$A$1:$A$49,0),MATCH(orders!I$1,Product!$A$1:$G$1,0))</f>
        <v>Exc</v>
      </c>
      <c r="J644" t="str">
        <f>INDEX(Product!$A$1:$G$49,MATCH(orders!$D644,Product!$A$1:$A$49,0),MATCH(orders!J$1,Product!$A$1:$G$1,0))</f>
        <v>M</v>
      </c>
      <c r="K644" s="4">
        <f>INDEX(Product!$A$1:$G$49,MATCH(orders!$D644,Product!$A$1:$A$49,0),MATCH(orders!K$1,Product!$A$1:$G$1,0))</f>
        <v>0.2</v>
      </c>
      <c r="L644" s="5">
        <f>INDEX(Product!$A$1:$G$49,MATCH(orders!$D644,Product!$A$1:$A$49,0),MATCH(orders!L$1,Product!$A$1:$G$1,0))</f>
        <v>4.125</v>
      </c>
      <c r="M644" s="5">
        <f t="shared" si="10"/>
        <v>8.25</v>
      </c>
      <c r="N644" t="str" cm="1">
        <f t="array" ref="N644">_xlfn.IFS(I644="Rob", "Robusta", I644="Exc", "Excelsa", I644="Ara", "Arabica", I644="Lib", "Liberica", TRUE, "")</f>
        <v>Excelsa</v>
      </c>
      <c r="O644" t="str" cm="1">
        <f t="array" ref="O644">_xlfn.IFS(J644="M", "Medium", J644="L", "Light", J644="D", "Dark", TRUE, "")</f>
        <v>Medium</v>
      </c>
      <c r="P644" t="str">
        <f>_xlfn.XLOOKUP(Table1[[#This Row],[Customer ID]], customers!$A$1:$A$1001, customers!$I$1:$I$1001,, 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INDEX(Product!$A$1:$G$49,MATCH(orders!$D645,Product!$A$1:$A$49,0),MATCH(orders!I$1,Product!$A$1:$G$1,0))</f>
        <v>Exc</v>
      </c>
      <c r="J645" t="str">
        <f>INDEX(Product!$A$1:$G$49,MATCH(orders!$D645,Product!$A$1:$A$49,0),MATCH(orders!J$1,Product!$A$1:$G$1,0))</f>
        <v>L</v>
      </c>
      <c r="K645" s="4">
        <f>INDEX(Product!$A$1:$G$49,MATCH(orders!$D645,Product!$A$1:$A$49,0),MATCH(orders!K$1,Product!$A$1:$G$1,0))</f>
        <v>2.5</v>
      </c>
      <c r="L645" s="5">
        <f>INDEX(Product!$A$1:$G$49,MATCH(orders!$D645,Product!$A$1:$A$49,0),MATCH(orders!L$1,Product!$A$1:$G$1,0))</f>
        <v>34.154999999999994</v>
      </c>
      <c r="M645" s="5">
        <f t="shared" si="10"/>
        <v>102.46499999999997</v>
      </c>
      <c r="N645" t="str" cm="1">
        <f t="array" ref="N645">_xlfn.IFS(I645="Rob", "Robusta", I645="Exc", "Excelsa", I645="Ara", "Arabica", I645="Lib", "Liberica", TRUE, "")</f>
        <v>Excelsa</v>
      </c>
      <c r="O645" t="str" cm="1">
        <f t="array" ref="O645">_xlfn.IFS(J645="M", "Medium", J645="L", "Light", J645="D", "Dark", TRUE, "")</f>
        <v>Light</v>
      </c>
      <c r="P645" t="str">
        <f>_xlfn.XLOOKUP(Table1[[#This Row],[Customer ID]], customers!$A$1:$A$1001, customers!$I$1:$I$1001,, 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INDEX(Product!$A$1:$G$49,MATCH(orders!$D646,Product!$A$1:$A$49,0),MATCH(orders!I$1,Product!$A$1:$G$1,0))</f>
        <v>Rob</v>
      </c>
      <c r="J646" t="str">
        <f>INDEX(Product!$A$1:$G$49,MATCH(orders!$D646,Product!$A$1:$A$49,0),MATCH(orders!J$1,Product!$A$1:$G$1,0))</f>
        <v>D</v>
      </c>
      <c r="K646" s="4">
        <f>INDEX(Product!$A$1:$G$49,MATCH(orders!$D646,Product!$A$1:$A$49,0),MATCH(orders!K$1,Product!$A$1:$G$1,0))</f>
        <v>2.5</v>
      </c>
      <c r="L646" s="5">
        <f>INDEX(Product!$A$1:$G$49,MATCH(orders!$D646,Product!$A$1:$A$49,0),MATCH(orders!L$1,Product!$A$1:$G$1,0))</f>
        <v>20.584999999999997</v>
      </c>
      <c r="M646" s="5">
        <f t="shared" si="10"/>
        <v>41.169999999999995</v>
      </c>
      <c r="N646" t="str" cm="1">
        <f t="array" ref="N646">_xlfn.IFS(I646="Rob", "Robusta", I646="Exc", "Excelsa", I646="Ara", "Arabica", I646="Lib", "Liberica", TRUE, "")</f>
        <v>Robusta</v>
      </c>
      <c r="O646" t="str" cm="1">
        <f t="array" ref="O646">_xlfn.IFS(J646="M", "Medium", J646="L", "Light", J646="D", "Dark", TRUE, "")</f>
        <v>Dark</v>
      </c>
      <c r="P646" t="str">
        <f>_xlfn.XLOOKUP(Table1[[#This Row],[Customer ID]], customers!$A$1:$A$1001, customers!$I$1:$I$1001,, 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INDEX(Product!$A$1:$G$49,MATCH(orders!$D647,Product!$A$1:$A$49,0),MATCH(orders!I$1,Product!$A$1:$G$1,0))</f>
        <v>Ara</v>
      </c>
      <c r="J647" t="str">
        <f>INDEX(Product!$A$1:$G$49,MATCH(orders!$D647,Product!$A$1:$A$49,0),MATCH(orders!J$1,Product!$A$1:$G$1,0))</f>
        <v>D</v>
      </c>
      <c r="K647" s="4">
        <f>INDEX(Product!$A$1:$G$49,MATCH(orders!$D647,Product!$A$1:$A$49,0),MATCH(orders!K$1,Product!$A$1:$G$1,0))</f>
        <v>2.5</v>
      </c>
      <c r="L647" s="5">
        <f>INDEX(Product!$A$1:$G$49,MATCH(orders!$D647,Product!$A$1:$A$49,0),MATCH(orders!L$1,Product!$A$1:$G$1,0))</f>
        <v>22.884999999999998</v>
      </c>
      <c r="M647" s="5">
        <f t="shared" si="10"/>
        <v>68.655000000000001</v>
      </c>
      <c r="N647" t="str" cm="1">
        <f t="array" ref="N647">_xlfn.IFS(I647="Rob", "Robusta", I647="Exc", "Excelsa", I647="Ara", "Arabica", I647="Lib", "Liberica", TRUE, "")</f>
        <v>Arabica</v>
      </c>
      <c r="O647" t="str" cm="1">
        <f t="array" ref="O647">_xlfn.IFS(J647="M", "Medium", J647="L", "Light", J647="D", "Dark", TRUE, "")</f>
        <v>Dark</v>
      </c>
      <c r="P647" t="str">
        <f>_xlfn.XLOOKUP(Table1[[#This Row],[Customer ID]], customers!$A$1:$A$1001, customers!$I$1:$I$1001,, 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INDEX(Product!$A$1:$G$49,MATCH(orders!$D648,Product!$A$1:$A$49,0),MATCH(orders!I$1,Product!$A$1:$G$1,0))</f>
        <v>Ara</v>
      </c>
      <c r="J648" t="str">
        <f>INDEX(Product!$A$1:$G$49,MATCH(orders!$D648,Product!$A$1:$A$49,0),MATCH(orders!J$1,Product!$A$1:$G$1,0))</f>
        <v>D</v>
      </c>
      <c r="K648" s="4">
        <f>INDEX(Product!$A$1:$G$49,MATCH(orders!$D648,Product!$A$1:$A$49,0),MATCH(orders!K$1,Product!$A$1:$G$1,0))</f>
        <v>1</v>
      </c>
      <c r="L648" s="5">
        <f>INDEX(Product!$A$1:$G$49,MATCH(orders!$D648,Product!$A$1:$A$49,0),MATCH(orders!L$1,Product!$A$1:$G$1,0))</f>
        <v>9.9499999999999993</v>
      </c>
      <c r="M648" s="5">
        <f t="shared" si="10"/>
        <v>9.9499999999999993</v>
      </c>
      <c r="N648" t="str" cm="1">
        <f t="array" ref="N648">_xlfn.IFS(I648="Rob", "Robusta", I648="Exc", "Excelsa", I648="Ara", "Arabica", I648="Lib", "Liberica", TRUE, "")</f>
        <v>Arabica</v>
      </c>
      <c r="O648" t="str" cm="1">
        <f t="array" ref="O648">_xlfn.IFS(J648="M", "Medium", J648="L", "Light", J648="D", "Dark", TRUE, "")</f>
        <v>Dark</v>
      </c>
      <c r="P648" t="str">
        <f>_xlfn.XLOOKUP(Table1[[#This Row],[Customer ID]], customers!$A$1:$A$1001, customers!$I$1:$I$1001,, 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INDEX(Product!$A$1:$G$49,MATCH(orders!$D649,Product!$A$1:$A$49,0),MATCH(orders!I$1,Product!$A$1:$G$1,0))</f>
        <v>Lib</v>
      </c>
      <c r="J649" t="str">
        <f>INDEX(Product!$A$1:$G$49,MATCH(orders!$D649,Product!$A$1:$A$49,0),MATCH(orders!J$1,Product!$A$1:$G$1,0))</f>
        <v>L</v>
      </c>
      <c r="K649" s="4">
        <f>INDEX(Product!$A$1:$G$49,MATCH(orders!$D649,Product!$A$1:$A$49,0),MATCH(orders!K$1,Product!$A$1:$G$1,0))</f>
        <v>0.5</v>
      </c>
      <c r="L649" s="5">
        <f>INDEX(Product!$A$1:$G$49,MATCH(orders!$D649,Product!$A$1:$A$49,0),MATCH(orders!L$1,Product!$A$1:$G$1,0))</f>
        <v>9.51</v>
      </c>
      <c r="M649" s="5">
        <f t="shared" si="10"/>
        <v>28.53</v>
      </c>
      <c r="N649" t="str" cm="1">
        <f t="array" ref="N649">_xlfn.IFS(I649="Rob", "Robusta", I649="Exc", "Excelsa", I649="Ara", "Arabica", I649="Lib", "Liberica", TRUE, "")</f>
        <v>Liberica</v>
      </c>
      <c r="O649" t="str" cm="1">
        <f t="array" ref="O649">_xlfn.IFS(J649="M", "Medium", J649="L", "Light", J649="D", "Dark", TRUE, "")</f>
        <v>Light</v>
      </c>
      <c r="P649" t="str">
        <f>_xlfn.XLOOKUP(Table1[[#This Row],[Customer ID]], customers!$A$1:$A$1001, customers!$I$1:$I$1001,, 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INDEX(Product!$A$1:$G$49,MATCH(orders!$D650,Product!$A$1:$A$49,0),MATCH(orders!I$1,Product!$A$1:$G$1,0))</f>
        <v>Rob</v>
      </c>
      <c r="J650" t="str">
        <f>INDEX(Product!$A$1:$G$49,MATCH(orders!$D650,Product!$A$1:$A$49,0),MATCH(orders!J$1,Product!$A$1:$G$1,0))</f>
        <v>D</v>
      </c>
      <c r="K650" s="4">
        <f>INDEX(Product!$A$1:$G$49,MATCH(orders!$D650,Product!$A$1:$A$49,0),MATCH(orders!K$1,Product!$A$1:$G$1,0))</f>
        <v>0.2</v>
      </c>
      <c r="L650" s="5">
        <f>INDEX(Product!$A$1:$G$49,MATCH(orders!$D650,Product!$A$1:$A$49,0),MATCH(orders!L$1,Product!$A$1:$G$1,0))</f>
        <v>2.6849999999999996</v>
      </c>
      <c r="M650" s="5">
        <f t="shared" si="10"/>
        <v>16.11</v>
      </c>
      <c r="N650" t="str" cm="1">
        <f t="array" ref="N650">_xlfn.IFS(I650="Rob", "Robusta", I650="Exc", "Excelsa", I650="Ara", "Arabica", I650="Lib", "Liberica", TRUE, "")</f>
        <v>Robusta</v>
      </c>
      <c r="O650" t="str" cm="1">
        <f t="array" ref="O650">_xlfn.IFS(J650="M", "Medium", J650="L", "Light", J650="D", "Dark", TRUE, "")</f>
        <v>Dark</v>
      </c>
      <c r="P650" t="str">
        <f>_xlfn.XLOOKUP(Table1[[#This Row],[Customer ID]], customers!$A$1:$A$1001, customers!$I$1:$I$1001,, 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INDEX(Product!$A$1:$G$49,MATCH(orders!$D651,Product!$A$1:$A$49,0),MATCH(orders!I$1,Product!$A$1:$G$1,0))</f>
        <v>Lib</v>
      </c>
      <c r="J651" t="str">
        <f>INDEX(Product!$A$1:$G$49,MATCH(orders!$D651,Product!$A$1:$A$49,0),MATCH(orders!J$1,Product!$A$1:$G$1,0))</f>
        <v>L</v>
      </c>
      <c r="K651" s="4">
        <f>INDEX(Product!$A$1:$G$49,MATCH(orders!$D651,Product!$A$1:$A$49,0),MATCH(orders!K$1,Product!$A$1:$G$1,0))</f>
        <v>1</v>
      </c>
      <c r="L651" s="5">
        <f>INDEX(Product!$A$1:$G$49,MATCH(orders!$D651,Product!$A$1:$A$49,0),MATCH(orders!L$1,Product!$A$1:$G$1,0))</f>
        <v>15.85</v>
      </c>
      <c r="M651" s="5">
        <f t="shared" si="10"/>
        <v>95.1</v>
      </c>
      <c r="N651" t="str" cm="1">
        <f t="array" ref="N651">_xlfn.IFS(I651="Rob", "Robusta", I651="Exc", "Excelsa", I651="Ara", "Arabica", I651="Lib", "Liberica", TRUE, "")</f>
        <v>Liberica</v>
      </c>
      <c r="O651" t="str" cm="1">
        <f t="array" ref="O651">_xlfn.IFS(J651="M", "Medium", J651="L", "Light", J651="D", "Dark", TRUE, "")</f>
        <v>Light</v>
      </c>
      <c r="P651" t="str">
        <f>_xlfn.XLOOKUP(Table1[[#This Row],[Customer ID]], customers!$A$1:$A$1001, customers!$I$1:$I$1001,, 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INDEX(Product!$A$1:$G$49,MATCH(orders!$D652,Product!$A$1:$A$49,0),MATCH(orders!I$1,Product!$A$1:$G$1,0))</f>
        <v>Rob</v>
      </c>
      <c r="J652" t="str">
        <f>INDEX(Product!$A$1:$G$49,MATCH(orders!$D652,Product!$A$1:$A$49,0),MATCH(orders!J$1,Product!$A$1:$G$1,0))</f>
        <v>D</v>
      </c>
      <c r="K652" s="4">
        <f>INDEX(Product!$A$1:$G$49,MATCH(orders!$D652,Product!$A$1:$A$49,0),MATCH(orders!K$1,Product!$A$1:$G$1,0))</f>
        <v>0.5</v>
      </c>
      <c r="L652" s="5">
        <f>INDEX(Product!$A$1:$G$49,MATCH(orders!$D652,Product!$A$1:$A$49,0),MATCH(orders!L$1,Product!$A$1:$G$1,0))</f>
        <v>5.3699999999999992</v>
      </c>
      <c r="M652" s="5">
        <f t="shared" si="10"/>
        <v>5.3699999999999992</v>
      </c>
      <c r="N652" t="str" cm="1">
        <f t="array" ref="N652">_xlfn.IFS(I652="Rob", "Robusta", I652="Exc", "Excelsa", I652="Ara", "Arabica", I652="Lib", "Liberica", TRUE, "")</f>
        <v>Robusta</v>
      </c>
      <c r="O652" t="str" cm="1">
        <f t="array" ref="O652">_xlfn.IFS(J652="M", "Medium", J652="L", "Light", J652="D", "Dark", TRUE, "")</f>
        <v>Dark</v>
      </c>
      <c r="P652" t="str">
        <f>_xlfn.XLOOKUP(Table1[[#This Row],[Customer ID]], customers!$A$1:$A$1001, customers!$I$1:$I$1001,, 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INDEX(Product!$A$1:$G$49,MATCH(orders!$D653,Product!$A$1:$A$49,0),MATCH(orders!I$1,Product!$A$1:$G$1,0))</f>
        <v>Rob</v>
      </c>
      <c r="J653" t="str">
        <f>INDEX(Product!$A$1:$G$49,MATCH(orders!$D653,Product!$A$1:$A$49,0),MATCH(orders!J$1,Product!$A$1:$G$1,0))</f>
        <v>L</v>
      </c>
      <c r="K653" s="4">
        <f>INDEX(Product!$A$1:$G$49,MATCH(orders!$D653,Product!$A$1:$A$49,0),MATCH(orders!K$1,Product!$A$1:$G$1,0))</f>
        <v>1</v>
      </c>
      <c r="L653" s="5">
        <f>INDEX(Product!$A$1:$G$49,MATCH(orders!$D653,Product!$A$1:$A$49,0),MATCH(orders!L$1,Product!$A$1:$G$1,0))</f>
        <v>11.95</v>
      </c>
      <c r="M653" s="5">
        <f t="shared" si="10"/>
        <v>47.8</v>
      </c>
      <c r="N653" t="str" cm="1">
        <f t="array" ref="N653">_xlfn.IFS(I653="Rob", "Robusta", I653="Exc", "Excelsa", I653="Ara", "Arabica", I653="Lib", "Liberica", TRUE, "")</f>
        <v>Robusta</v>
      </c>
      <c r="O653" t="str" cm="1">
        <f t="array" ref="O653">_xlfn.IFS(J653="M", "Medium", J653="L", "Light", J653="D", "Dark", TRUE, "")</f>
        <v>Light</v>
      </c>
      <c r="P653" t="str">
        <f>_xlfn.XLOOKUP(Table1[[#This Row],[Customer ID]], customers!$A$1:$A$1001, customers!$I$1:$I$1001,, 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INDEX(Product!$A$1:$G$49,MATCH(orders!$D654,Product!$A$1:$A$49,0),MATCH(orders!I$1,Product!$A$1:$G$1,0))</f>
        <v>Lib</v>
      </c>
      <c r="J654" t="str">
        <f>INDEX(Product!$A$1:$G$49,MATCH(orders!$D654,Product!$A$1:$A$49,0),MATCH(orders!J$1,Product!$A$1:$G$1,0))</f>
        <v>L</v>
      </c>
      <c r="K654" s="4">
        <f>INDEX(Product!$A$1:$G$49,MATCH(orders!$D654,Product!$A$1:$A$49,0),MATCH(orders!K$1,Product!$A$1:$G$1,0))</f>
        <v>1</v>
      </c>
      <c r="L654" s="5">
        <f>INDEX(Product!$A$1:$G$49,MATCH(orders!$D654,Product!$A$1:$A$49,0),MATCH(orders!L$1,Product!$A$1:$G$1,0))</f>
        <v>15.85</v>
      </c>
      <c r="M654" s="5">
        <f t="shared" si="10"/>
        <v>63.4</v>
      </c>
      <c r="N654" t="str" cm="1">
        <f t="array" ref="N654">_xlfn.IFS(I654="Rob", "Robusta", I654="Exc", "Excelsa", I654="Ara", "Arabica", I654="Lib", "Liberica", TRUE, "")</f>
        <v>Liberica</v>
      </c>
      <c r="O654" t="str" cm="1">
        <f t="array" ref="O654">_xlfn.IFS(J654="M", "Medium", J654="L", "Light", J654="D", "Dark", TRUE, "")</f>
        <v>Light</v>
      </c>
      <c r="P654" t="str">
        <f>_xlfn.XLOOKUP(Table1[[#This Row],[Customer ID]], customers!$A$1:$A$1001, customers!$I$1:$I$1001,, 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INDEX(Product!$A$1:$G$49,MATCH(orders!$D655,Product!$A$1:$A$49,0),MATCH(orders!I$1,Product!$A$1:$G$1,0))</f>
        <v>Ara</v>
      </c>
      <c r="J655" t="str">
        <f>INDEX(Product!$A$1:$G$49,MATCH(orders!$D655,Product!$A$1:$A$49,0),MATCH(orders!J$1,Product!$A$1:$G$1,0))</f>
        <v>M</v>
      </c>
      <c r="K655" s="4">
        <f>INDEX(Product!$A$1:$G$49,MATCH(orders!$D655,Product!$A$1:$A$49,0),MATCH(orders!K$1,Product!$A$1:$G$1,0))</f>
        <v>2.5</v>
      </c>
      <c r="L655" s="5">
        <f>INDEX(Product!$A$1:$G$49,MATCH(orders!$D655,Product!$A$1:$A$49,0),MATCH(orders!L$1,Product!$A$1:$G$1,0))</f>
        <v>25.874999999999996</v>
      </c>
      <c r="M655" s="5">
        <f t="shared" si="10"/>
        <v>103.49999999999999</v>
      </c>
      <c r="N655" t="str" cm="1">
        <f t="array" ref="N655">_xlfn.IFS(I655="Rob", "Robusta", I655="Exc", "Excelsa", I655="Ara", "Arabica", I655="Lib", "Liberica", TRUE, "")</f>
        <v>Arabica</v>
      </c>
      <c r="O655" t="str" cm="1">
        <f t="array" ref="O655">_xlfn.IFS(J655="M", "Medium", J655="L", "Light", J655="D", "Dark", TRUE, "")</f>
        <v>Medium</v>
      </c>
      <c r="P655" t="str">
        <f>_xlfn.XLOOKUP(Table1[[#This Row],[Customer ID]], customers!$A$1:$A$1001, customers!$I$1:$I$1001,, 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INDEX(Product!$A$1:$G$49,MATCH(orders!$D656,Product!$A$1:$A$49,0),MATCH(orders!I$1,Product!$A$1:$G$1,0))</f>
        <v>Ara</v>
      </c>
      <c r="J656" t="str">
        <f>INDEX(Product!$A$1:$G$49,MATCH(orders!$D656,Product!$A$1:$A$49,0),MATCH(orders!J$1,Product!$A$1:$G$1,0))</f>
        <v>D</v>
      </c>
      <c r="K656" s="4">
        <f>INDEX(Product!$A$1:$G$49,MATCH(orders!$D656,Product!$A$1:$A$49,0),MATCH(orders!K$1,Product!$A$1:$G$1,0))</f>
        <v>2.5</v>
      </c>
      <c r="L656" s="5">
        <f>INDEX(Product!$A$1:$G$49,MATCH(orders!$D656,Product!$A$1:$A$49,0),MATCH(orders!L$1,Product!$A$1:$G$1,0))</f>
        <v>22.884999999999998</v>
      </c>
      <c r="M656" s="5">
        <f t="shared" si="10"/>
        <v>68.655000000000001</v>
      </c>
      <c r="N656" t="str" cm="1">
        <f t="array" ref="N656">_xlfn.IFS(I656="Rob", "Robusta", I656="Exc", "Excelsa", I656="Ara", "Arabica", I656="Lib", "Liberica", TRUE, "")</f>
        <v>Arabica</v>
      </c>
      <c r="O656" t="str" cm="1">
        <f t="array" ref="O656">_xlfn.IFS(J656="M", "Medium", J656="L", "Light", J656="D", "Dark", TRUE, "")</f>
        <v>Dark</v>
      </c>
      <c r="P656" t="str">
        <f>_xlfn.XLOOKUP(Table1[[#This Row],[Customer ID]], customers!$A$1:$A$1001, customers!$I$1:$I$1001,, 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INDEX(Product!$A$1:$G$49,MATCH(orders!$D657,Product!$A$1:$A$49,0),MATCH(orders!I$1,Product!$A$1:$G$1,0))</f>
        <v>Rob</v>
      </c>
      <c r="J657" t="str">
        <f>INDEX(Product!$A$1:$G$49,MATCH(orders!$D657,Product!$A$1:$A$49,0),MATCH(orders!J$1,Product!$A$1:$G$1,0))</f>
        <v>M</v>
      </c>
      <c r="K657" s="4">
        <f>INDEX(Product!$A$1:$G$49,MATCH(orders!$D657,Product!$A$1:$A$49,0),MATCH(orders!K$1,Product!$A$1:$G$1,0))</f>
        <v>2.5</v>
      </c>
      <c r="L657" s="5">
        <f>INDEX(Product!$A$1:$G$49,MATCH(orders!$D657,Product!$A$1:$A$49,0),MATCH(orders!L$1,Product!$A$1:$G$1,0))</f>
        <v>22.884999999999998</v>
      </c>
      <c r="M657" s="5">
        <f t="shared" si="10"/>
        <v>45.769999999999996</v>
      </c>
      <c r="N657" t="str" cm="1">
        <f t="array" ref="N657">_xlfn.IFS(I657="Rob", "Robusta", I657="Exc", "Excelsa", I657="Ara", "Arabica", I657="Lib", "Liberica", TRUE, "")</f>
        <v>Robusta</v>
      </c>
      <c r="O657" t="str" cm="1">
        <f t="array" ref="O657">_xlfn.IFS(J657="M", "Medium", J657="L", "Light", J657="D", "Dark", TRUE, "")</f>
        <v>Medium</v>
      </c>
      <c r="P657" t="str">
        <f>_xlfn.XLOOKUP(Table1[[#This Row],[Customer ID]], customers!$A$1:$A$1001, customers!$I$1:$I$1001,, 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INDEX(Product!$A$1:$G$49,MATCH(orders!$D658,Product!$A$1:$A$49,0),MATCH(orders!I$1,Product!$A$1:$G$1,0))</f>
        <v>Lib</v>
      </c>
      <c r="J658" t="str">
        <f>INDEX(Product!$A$1:$G$49,MATCH(orders!$D658,Product!$A$1:$A$49,0),MATCH(orders!J$1,Product!$A$1:$G$1,0))</f>
        <v>D</v>
      </c>
      <c r="K658" s="4">
        <f>INDEX(Product!$A$1:$G$49,MATCH(orders!$D658,Product!$A$1:$A$49,0),MATCH(orders!K$1,Product!$A$1:$G$1,0))</f>
        <v>1</v>
      </c>
      <c r="L658" s="5">
        <f>INDEX(Product!$A$1:$G$49,MATCH(orders!$D658,Product!$A$1:$A$49,0),MATCH(orders!L$1,Product!$A$1:$G$1,0))</f>
        <v>12.95</v>
      </c>
      <c r="M658" s="5">
        <f t="shared" si="10"/>
        <v>51.8</v>
      </c>
      <c r="N658" t="str" cm="1">
        <f t="array" ref="N658">_xlfn.IFS(I658="Rob", "Robusta", I658="Exc", "Excelsa", I658="Ara", "Arabica", I658="Lib", "Liberica", TRUE, "")</f>
        <v>Liberica</v>
      </c>
      <c r="O658" t="str" cm="1">
        <f t="array" ref="O658">_xlfn.IFS(J658="M", "Medium", J658="L", "Light", J658="D", "Dark", TRUE, "")</f>
        <v>Dark</v>
      </c>
      <c r="P658" t="str">
        <f>_xlfn.XLOOKUP(Table1[[#This Row],[Customer ID]], customers!$A$1:$A$1001, customers!$I$1:$I$1001,, 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INDEX(Product!$A$1:$G$49,MATCH(orders!$D659,Product!$A$1:$A$49,0),MATCH(orders!I$1,Product!$A$1:$G$1,0))</f>
        <v>Ara</v>
      </c>
      <c r="J659" t="str">
        <f>INDEX(Product!$A$1:$G$49,MATCH(orders!$D659,Product!$A$1:$A$49,0),MATCH(orders!J$1,Product!$A$1:$G$1,0))</f>
        <v>M</v>
      </c>
      <c r="K659" s="4">
        <f>INDEX(Product!$A$1:$G$49,MATCH(orders!$D659,Product!$A$1:$A$49,0),MATCH(orders!K$1,Product!$A$1:$G$1,0))</f>
        <v>0.5</v>
      </c>
      <c r="L659" s="5">
        <f>INDEX(Product!$A$1:$G$49,MATCH(orders!$D659,Product!$A$1:$A$49,0),MATCH(orders!L$1,Product!$A$1:$G$1,0))</f>
        <v>6.75</v>
      </c>
      <c r="M659" s="5">
        <f t="shared" si="10"/>
        <v>13.5</v>
      </c>
      <c r="N659" t="str" cm="1">
        <f t="array" ref="N659">_xlfn.IFS(I659="Rob", "Robusta", I659="Exc", "Excelsa", I659="Ara", "Arabica", I659="Lib", "Liberica", TRUE, "")</f>
        <v>Arabica</v>
      </c>
      <c r="O659" t="str" cm="1">
        <f t="array" ref="O659">_xlfn.IFS(J659="M", "Medium", J659="L", "Light", J659="D", "Dark", TRUE, "")</f>
        <v>Medium</v>
      </c>
      <c r="P659" t="str">
        <f>_xlfn.XLOOKUP(Table1[[#This Row],[Customer ID]], customers!$A$1:$A$1001, customers!$I$1:$I$1001,, 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INDEX(Product!$A$1:$G$49,MATCH(orders!$D660,Product!$A$1:$A$49,0),MATCH(orders!I$1,Product!$A$1:$G$1,0))</f>
        <v>Exc</v>
      </c>
      <c r="J660" t="str">
        <f>INDEX(Product!$A$1:$G$49,MATCH(orders!$D660,Product!$A$1:$A$49,0),MATCH(orders!J$1,Product!$A$1:$G$1,0))</f>
        <v>M</v>
      </c>
      <c r="K660" s="4">
        <f>INDEX(Product!$A$1:$G$49,MATCH(orders!$D660,Product!$A$1:$A$49,0),MATCH(orders!K$1,Product!$A$1:$G$1,0))</f>
        <v>0.5</v>
      </c>
      <c r="L660" s="5">
        <f>INDEX(Product!$A$1:$G$49,MATCH(orders!$D660,Product!$A$1:$A$49,0),MATCH(orders!L$1,Product!$A$1:$G$1,0))</f>
        <v>8.25</v>
      </c>
      <c r="M660" s="5">
        <f t="shared" si="10"/>
        <v>24.75</v>
      </c>
      <c r="N660" t="str" cm="1">
        <f t="array" ref="N660">_xlfn.IFS(I660="Rob", "Robusta", I660="Exc", "Excelsa", I660="Ara", "Arabica", I660="Lib", "Liberica", TRUE, "")</f>
        <v>Excelsa</v>
      </c>
      <c r="O660" t="str" cm="1">
        <f t="array" ref="O660">_xlfn.IFS(J660="M", "Medium", J660="L", "Light", J660="D", "Dark", TRUE, "")</f>
        <v>Medium</v>
      </c>
      <c r="P660" t="str">
        <f>_xlfn.XLOOKUP(Table1[[#This Row],[Customer ID]], customers!$A$1:$A$1001, customers!$I$1:$I$1001,, 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INDEX(Product!$A$1:$G$49,MATCH(orders!$D661,Product!$A$1:$A$49,0),MATCH(orders!I$1,Product!$A$1:$G$1,0))</f>
        <v>Ara</v>
      </c>
      <c r="J661" t="str">
        <f>INDEX(Product!$A$1:$G$49,MATCH(orders!$D661,Product!$A$1:$A$49,0),MATCH(orders!J$1,Product!$A$1:$G$1,0))</f>
        <v>D</v>
      </c>
      <c r="K661" s="4">
        <f>INDEX(Product!$A$1:$G$49,MATCH(orders!$D661,Product!$A$1:$A$49,0),MATCH(orders!K$1,Product!$A$1:$G$1,0))</f>
        <v>2.5</v>
      </c>
      <c r="L661" s="5">
        <f>INDEX(Product!$A$1:$G$49,MATCH(orders!$D661,Product!$A$1:$A$49,0),MATCH(orders!L$1,Product!$A$1:$G$1,0))</f>
        <v>22.884999999999998</v>
      </c>
      <c r="M661" s="5">
        <f t="shared" si="10"/>
        <v>45.769999999999996</v>
      </c>
      <c r="N661" t="str" cm="1">
        <f t="array" ref="N661">_xlfn.IFS(I661="Rob", "Robusta", I661="Exc", "Excelsa", I661="Ara", "Arabica", I661="Lib", "Liberica", TRUE, "")</f>
        <v>Arabica</v>
      </c>
      <c r="O661" t="str" cm="1">
        <f t="array" ref="O661">_xlfn.IFS(J661="M", "Medium", J661="L", "Light", J661="D", "Dark", TRUE, "")</f>
        <v>Dark</v>
      </c>
      <c r="P661" t="str">
        <f>_xlfn.XLOOKUP(Table1[[#This Row],[Customer ID]], customers!$A$1:$A$1001, customers!$I$1:$I$1001,, 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INDEX(Product!$A$1:$G$49,MATCH(orders!$D662,Product!$A$1:$A$49,0),MATCH(orders!I$1,Product!$A$1:$G$1,0))</f>
        <v>Exc</v>
      </c>
      <c r="J662" t="str">
        <f>INDEX(Product!$A$1:$G$49,MATCH(orders!$D662,Product!$A$1:$A$49,0),MATCH(orders!J$1,Product!$A$1:$G$1,0))</f>
        <v>L</v>
      </c>
      <c r="K662" s="4">
        <f>INDEX(Product!$A$1:$G$49,MATCH(orders!$D662,Product!$A$1:$A$49,0),MATCH(orders!K$1,Product!$A$1:$G$1,0))</f>
        <v>0.5</v>
      </c>
      <c r="L662" s="5">
        <f>INDEX(Product!$A$1:$G$49,MATCH(orders!$D662,Product!$A$1:$A$49,0),MATCH(orders!L$1,Product!$A$1:$G$1,0))</f>
        <v>8.91</v>
      </c>
      <c r="M662" s="5">
        <f t="shared" si="10"/>
        <v>53.46</v>
      </c>
      <c r="N662" t="str" cm="1">
        <f t="array" ref="N662">_xlfn.IFS(I662="Rob", "Robusta", I662="Exc", "Excelsa", I662="Ara", "Arabica", I662="Lib", "Liberica", TRUE, "")</f>
        <v>Excelsa</v>
      </c>
      <c r="O662" t="str" cm="1">
        <f t="array" ref="O662">_xlfn.IFS(J662="M", "Medium", J662="L", "Light", J662="D", "Dark", TRUE, "")</f>
        <v>Light</v>
      </c>
      <c r="P662" t="str">
        <f>_xlfn.XLOOKUP(Table1[[#This Row],[Customer ID]], customers!$A$1:$A$1001, customers!$I$1:$I$1001,, 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INDEX(Product!$A$1:$G$49,MATCH(orders!$D663,Product!$A$1:$A$49,0),MATCH(orders!I$1,Product!$A$1:$G$1,0))</f>
        <v>Ara</v>
      </c>
      <c r="J663" t="str">
        <f>INDEX(Product!$A$1:$G$49,MATCH(orders!$D663,Product!$A$1:$A$49,0),MATCH(orders!J$1,Product!$A$1:$G$1,0))</f>
        <v>M</v>
      </c>
      <c r="K663" s="4">
        <f>INDEX(Product!$A$1:$G$49,MATCH(orders!$D663,Product!$A$1:$A$49,0),MATCH(orders!K$1,Product!$A$1:$G$1,0))</f>
        <v>0.2</v>
      </c>
      <c r="L663" s="5">
        <f>INDEX(Product!$A$1:$G$49,MATCH(orders!$D663,Product!$A$1:$A$49,0),MATCH(orders!L$1,Product!$A$1:$G$1,0))</f>
        <v>3.375</v>
      </c>
      <c r="M663" s="5">
        <f t="shared" si="10"/>
        <v>20.25</v>
      </c>
      <c r="N663" t="str" cm="1">
        <f t="array" ref="N663">_xlfn.IFS(I663="Rob", "Robusta", I663="Exc", "Excelsa", I663="Ara", "Arabica", I663="Lib", "Liberica", TRUE, "")</f>
        <v>Arabica</v>
      </c>
      <c r="O663" t="str" cm="1">
        <f t="array" ref="O663">_xlfn.IFS(J663="M", "Medium", J663="L", "Light", J663="D", "Dark", TRUE, "")</f>
        <v>Medium</v>
      </c>
      <c r="P663" t="str">
        <f>_xlfn.XLOOKUP(Table1[[#This Row],[Customer ID]], customers!$A$1:$A$1001, customers!$I$1:$I$1001,, 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INDEX(Product!$A$1:$G$49,MATCH(orders!$D664,Product!$A$1:$A$49,0),MATCH(orders!I$1,Product!$A$1:$G$1,0))</f>
        <v>Lib</v>
      </c>
      <c r="J664" t="str">
        <f>INDEX(Product!$A$1:$G$49,MATCH(orders!$D664,Product!$A$1:$A$49,0),MATCH(orders!J$1,Product!$A$1:$G$1,0))</f>
        <v>D</v>
      </c>
      <c r="K664" s="4">
        <f>INDEX(Product!$A$1:$G$49,MATCH(orders!$D664,Product!$A$1:$A$49,0),MATCH(orders!K$1,Product!$A$1:$G$1,0))</f>
        <v>2.5</v>
      </c>
      <c r="L664" s="5">
        <f>INDEX(Product!$A$1:$G$49,MATCH(orders!$D664,Product!$A$1:$A$49,0),MATCH(orders!L$1,Product!$A$1:$G$1,0))</f>
        <v>29.784999999999997</v>
      </c>
      <c r="M664" s="5">
        <f t="shared" si="10"/>
        <v>148.92499999999998</v>
      </c>
      <c r="N664" t="str" cm="1">
        <f t="array" ref="N664">_xlfn.IFS(I664="Rob", "Robusta", I664="Exc", "Excelsa", I664="Ara", "Arabica", I664="Lib", "Liberica", TRUE, "")</f>
        <v>Liberica</v>
      </c>
      <c r="O664" t="str" cm="1">
        <f t="array" ref="O664">_xlfn.IFS(J664="M", "Medium", J664="L", "Light", J664="D", "Dark", TRUE, "")</f>
        <v>Dark</v>
      </c>
      <c r="P664" t="str">
        <f>_xlfn.XLOOKUP(Table1[[#This Row],[Customer ID]], customers!$A$1:$A$1001, customers!$I$1:$I$1001,, 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INDEX(Product!$A$1:$G$49,MATCH(orders!$D665,Product!$A$1:$A$49,0),MATCH(orders!I$1,Product!$A$1:$G$1,0))</f>
        <v>Ara</v>
      </c>
      <c r="J665" t="str">
        <f>INDEX(Product!$A$1:$G$49,MATCH(orders!$D665,Product!$A$1:$A$49,0),MATCH(orders!J$1,Product!$A$1:$G$1,0))</f>
        <v>M</v>
      </c>
      <c r="K665" s="4">
        <f>INDEX(Product!$A$1:$G$49,MATCH(orders!$D665,Product!$A$1:$A$49,0),MATCH(orders!K$1,Product!$A$1:$G$1,0))</f>
        <v>1</v>
      </c>
      <c r="L665" s="5">
        <f>INDEX(Product!$A$1:$G$49,MATCH(orders!$D665,Product!$A$1:$A$49,0),MATCH(orders!L$1,Product!$A$1:$G$1,0))</f>
        <v>11.25</v>
      </c>
      <c r="M665" s="5">
        <f t="shared" si="10"/>
        <v>67.5</v>
      </c>
      <c r="N665" t="str" cm="1">
        <f t="array" ref="N665">_xlfn.IFS(I665="Rob", "Robusta", I665="Exc", "Excelsa", I665="Ara", "Arabica", I665="Lib", "Liberica", TRUE, "")</f>
        <v>Arabica</v>
      </c>
      <c r="O665" t="str" cm="1">
        <f t="array" ref="O665">_xlfn.IFS(J665="M", "Medium", J665="L", "Light", J665="D", "Dark", TRUE, "")</f>
        <v>Medium</v>
      </c>
      <c r="P665" t="str">
        <f>_xlfn.XLOOKUP(Table1[[#This Row],[Customer ID]], customers!$A$1:$A$1001, customers!$I$1:$I$1001,, 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INDEX(Product!$A$1:$G$49,MATCH(orders!$D666,Product!$A$1:$A$49,0),MATCH(orders!I$1,Product!$A$1:$G$1,0))</f>
        <v>Exc</v>
      </c>
      <c r="J666" t="str">
        <f>INDEX(Product!$A$1:$G$49,MATCH(orders!$D666,Product!$A$1:$A$49,0),MATCH(orders!J$1,Product!$A$1:$G$1,0))</f>
        <v>D</v>
      </c>
      <c r="K666" s="4">
        <f>INDEX(Product!$A$1:$G$49,MATCH(orders!$D666,Product!$A$1:$A$49,0),MATCH(orders!K$1,Product!$A$1:$G$1,0))</f>
        <v>1</v>
      </c>
      <c r="L666" s="5">
        <f>INDEX(Product!$A$1:$G$49,MATCH(orders!$D666,Product!$A$1:$A$49,0),MATCH(orders!L$1,Product!$A$1:$G$1,0))</f>
        <v>12.15</v>
      </c>
      <c r="M666" s="5">
        <f t="shared" si="10"/>
        <v>72.900000000000006</v>
      </c>
      <c r="N666" t="str" cm="1">
        <f t="array" ref="N666">_xlfn.IFS(I666="Rob", "Robusta", I666="Exc", "Excelsa", I666="Ara", "Arabica", I666="Lib", "Liberica", TRUE, "")</f>
        <v>Excelsa</v>
      </c>
      <c r="O666" t="str" cm="1">
        <f t="array" ref="O666">_xlfn.IFS(J666="M", "Medium", J666="L", "Light", J666="D", "Dark", TRUE, "")</f>
        <v>Dark</v>
      </c>
      <c r="P666" t="str">
        <f>_xlfn.XLOOKUP(Table1[[#This Row],[Customer ID]], customers!$A$1:$A$1001, customers!$I$1:$I$1001,, 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INDEX(Product!$A$1:$G$49,MATCH(orders!$D667,Product!$A$1:$A$49,0),MATCH(orders!I$1,Product!$A$1:$G$1,0))</f>
        <v>Lib</v>
      </c>
      <c r="J667" t="str">
        <f>INDEX(Product!$A$1:$G$49,MATCH(orders!$D667,Product!$A$1:$A$49,0),MATCH(orders!J$1,Product!$A$1:$G$1,0))</f>
        <v>D</v>
      </c>
      <c r="K667" s="4">
        <f>INDEX(Product!$A$1:$G$49,MATCH(orders!$D667,Product!$A$1:$A$49,0),MATCH(orders!K$1,Product!$A$1:$G$1,0))</f>
        <v>0.2</v>
      </c>
      <c r="L667" s="5">
        <f>INDEX(Product!$A$1:$G$49,MATCH(orders!$D667,Product!$A$1:$A$49,0),MATCH(orders!L$1,Product!$A$1:$G$1,0))</f>
        <v>3.8849999999999998</v>
      </c>
      <c r="M667" s="5">
        <f t="shared" si="10"/>
        <v>7.77</v>
      </c>
      <c r="N667" t="str" cm="1">
        <f t="array" ref="N667">_xlfn.IFS(I667="Rob", "Robusta", I667="Exc", "Excelsa", I667="Ara", "Arabica", I667="Lib", "Liberica", TRUE, "")</f>
        <v>Liberica</v>
      </c>
      <c r="O667" t="str" cm="1">
        <f t="array" ref="O667">_xlfn.IFS(J667="M", "Medium", J667="L", "Light", J667="D", "Dark", TRUE, "")</f>
        <v>Dark</v>
      </c>
      <c r="P667" t="str">
        <f>_xlfn.XLOOKUP(Table1[[#This Row],[Customer ID]], customers!$A$1:$A$1001, customers!$I$1:$I$1001,, 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INDEX(Product!$A$1:$G$49,MATCH(orders!$D668,Product!$A$1:$A$49,0),MATCH(orders!I$1,Product!$A$1:$G$1,0))</f>
        <v>Ara</v>
      </c>
      <c r="J668" t="str">
        <f>INDEX(Product!$A$1:$G$49,MATCH(orders!$D668,Product!$A$1:$A$49,0),MATCH(orders!J$1,Product!$A$1:$G$1,0))</f>
        <v>D</v>
      </c>
      <c r="K668" s="4">
        <f>INDEX(Product!$A$1:$G$49,MATCH(orders!$D668,Product!$A$1:$A$49,0),MATCH(orders!K$1,Product!$A$1:$G$1,0))</f>
        <v>2.5</v>
      </c>
      <c r="L668" s="5">
        <f>INDEX(Product!$A$1:$G$49,MATCH(orders!$D668,Product!$A$1:$A$49,0),MATCH(orders!L$1,Product!$A$1:$G$1,0))</f>
        <v>22.884999999999998</v>
      </c>
      <c r="M668" s="5">
        <f t="shared" si="10"/>
        <v>91.539999999999992</v>
      </c>
      <c r="N668" t="str" cm="1">
        <f t="array" ref="N668">_xlfn.IFS(I668="Rob", "Robusta", I668="Exc", "Excelsa", I668="Ara", "Arabica", I668="Lib", "Liberica", TRUE, "")</f>
        <v>Arabica</v>
      </c>
      <c r="O668" t="str" cm="1">
        <f t="array" ref="O668">_xlfn.IFS(J668="M", "Medium", J668="L", "Light", J668="D", "Dark", TRUE, "")</f>
        <v>Dark</v>
      </c>
      <c r="P668" t="str">
        <f>_xlfn.XLOOKUP(Table1[[#This Row],[Customer ID]], customers!$A$1:$A$1001, customers!$I$1:$I$1001,, 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INDEX(Product!$A$1:$G$49,MATCH(orders!$D669,Product!$A$1:$A$49,0),MATCH(orders!I$1,Product!$A$1:$G$1,0))</f>
        <v>Ara</v>
      </c>
      <c r="J669" t="str">
        <f>INDEX(Product!$A$1:$G$49,MATCH(orders!$D669,Product!$A$1:$A$49,0),MATCH(orders!J$1,Product!$A$1:$G$1,0))</f>
        <v>D</v>
      </c>
      <c r="K669" s="4">
        <f>INDEX(Product!$A$1:$G$49,MATCH(orders!$D669,Product!$A$1:$A$49,0),MATCH(orders!K$1,Product!$A$1:$G$1,0))</f>
        <v>1</v>
      </c>
      <c r="L669" s="5">
        <f>INDEX(Product!$A$1:$G$49,MATCH(orders!$D669,Product!$A$1:$A$49,0),MATCH(orders!L$1,Product!$A$1:$G$1,0))</f>
        <v>9.9499999999999993</v>
      </c>
      <c r="M669" s="5">
        <f t="shared" si="10"/>
        <v>59.699999999999996</v>
      </c>
      <c r="N669" t="str" cm="1">
        <f t="array" ref="N669">_xlfn.IFS(I669="Rob", "Robusta", I669="Exc", "Excelsa", I669="Ara", "Arabica", I669="Lib", "Liberica", TRUE, "")</f>
        <v>Arabica</v>
      </c>
      <c r="O669" t="str" cm="1">
        <f t="array" ref="O669">_xlfn.IFS(J669="M", "Medium", J669="L", "Light", J669="D", "Dark", TRUE, "")</f>
        <v>Dark</v>
      </c>
      <c r="P669" t="str">
        <f>_xlfn.XLOOKUP(Table1[[#This Row],[Customer ID]], customers!$A$1:$A$1001, customers!$I$1:$I$1001,, 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INDEX(Product!$A$1:$G$49,MATCH(orders!$D670,Product!$A$1:$A$49,0),MATCH(orders!I$1,Product!$A$1:$G$1,0))</f>
        <v>Rob</v>
      </c>
      <c r="J670" t="str">
        <f>INDEX(Product!$A$1:$G$49,MATCH(orders!$D670,Product!$A$1:$A$49,0),MATCH(orders!J$1,Product!$A$1:$G$1,0))</f>
        <v>L</v>
      </c>
      <c r="K670" s="4">
        <f>INDEX(Product!$A$1:$G$49,MATCH(orders!$D670,Product!$A$1:$A$49,0),MATCH(orders!K$1,Product!$A$1:$G$1,0))</f>
        <v>2.5</v>
      </c>
      <c r="L670" s="5">
        <f>INDEX(Product!$A$1:$G$49,MATCH(orders!$D670,Product!$A$1:$A$49,0),MATCH(orders!L$1,Product!$A$1:$G$1,0))</f>
        <v>27.484999999999996</v>
      </c>
      <c r="M670" s="5">
        <f t="shared" si="10"/>
        <v>137.42499999999998</v>
      </c>
      <c r="N670" t="str" cm="1">
        <f t="array" ref="N670">_xlfn.IFS(I670="Rob", "Robusta", I670="Exc", "Excelsa", I670="Ara", "Arabica", I670="Lib", "Liberica", TRUE, "")</f>
        <v>Robusta</v>
      </c>
      <c r="O670" t="str" cm="1">
        <f t="array" ref="O670">_xlfn.IFS(J670="M", "Medium", J670="L", "Light", J670="D", "Dark", TRUE, "")</f>
        <v>Light</v>
      </c>
      <c r="P670" t="str">
        <f>_xlfn.XLOOKUP(Table1[[#This Row],[Customer ID]], customers!$A$1:$A$1001, customers!$I$1:$I$1001,, 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INDEX(Product!$A$1:$G$49,MATCH(orders!$D671,Product!$A$1:$A$49,0),MATCH(orders!I$1,Product!$A$1:$G$1,0))</f>
        <v>Lib</v>
      </c>
      <c r="J671" t="str">
        <f>INDEX(Product!$A$1:$G$49,MATCH(orders!$D671,Product!$A$1:$A$49,0),MATCH(orders!J$1,Product!$A$1:$G$1,0))</f>
        <v>M</v>
      </c>
      <c r="K671" s="4">
        <f>INDEX(Product!$A$1:$G$49,MATCH(orders!$D671,Product!$A$1:$A$49,0),MATCH(orders!K$1,Product!$A$1:$G$1,0))</f>
        <v>2.5</v>
      </c>
      <c r="L671" s="5">
        <f>INDEX(Product!$A$1:$G$49,MATCH(orders!$D671,Product!$A$1:$A$49,0),MATCH(orders!L$1,Product!$A$1:$G$1,0))</f>
        <v>33.464999999999996</v>
      </c>
      <c r="M671" s="5">
        <f t="shared" si="10"/>
        <v>66.929999999999993</v>
      </c>
      <c r="N671" t="str" cm="1">
        <f t="array" ref="N671">_xlfn.IFS(I671="Rob", "Robusta", I671="Exc", "Excelsa", I671="Ara", "Arabica", I671="Lib", "Liberica", TRUE, "")</f>
        <v>Liberica</v>
      </c>
      <c r="O671" t="str" cm="1">
        <f t="array" ref="O671">_xlfn.IFS(J671="M", "Medium", J671="L", "Light", J671="D", "Dark", TRUE, "")</f>
        <v>Medium</v>
      </c>
      <c r="P671" t="str">
        <f>_xlfn.XLOOKUP(Table1[[#This Row],[Customer ID]], customers!$A$1:$A$1001, customers!$I$1:$I$1001,, 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INDEX(Product!$A$1:$G$49,MATCH(orders!$D672,Product!$A$1:$A$49,0),MATCH(orders!I$1,Product!$A$1:$G$1,0))</f>
        <v>Lib</v>
      </c>
      <c r="J672" t="str">
        <f>INDEX(Product!$A$1:$G$49,MATCH(orders!$D672,Product!$A$1:$A$49,0),MATCH(orders!J$1,Product!$A$1:$G$1,0))</f>
        <v>M</v>
      </c>
      <c r="K672" s="4">
        <f>INDEX(Product!$A$1:$G$49,MATCH(orders!$D672,Product!$A$1:$A$49,0),MATCH(orders!K$1,Product!$A$1:$G$1,0))</f>
        <v>0.2</v>
      </c>
      <c r="L672" s="5">
        <f>INDEX(Product!$A$1:$G$49,MATCH(orders!$D672,Product!$A$1:$A$49,0),MATCH(orders!L$1,Product!$A$1:$G$1,0))</f>
        <v>4.3650000000000002</v>
      </c>
      <c r="M672" s="5">
        <f t="shared" si="10"/>
        <v>13.095000000000001</v>
      </c>
      <c r="N672" t="str" cm="1">
        <f t="array" ref="N672">_xlfn.IFS(I672="Rob", "Robusta", I672="Exc", "Excelsa", I672="Ara", "Arabica", I672="Lib", "Liberica", TRUE, "")</f>
        <v>Liberica</v>
      </c>
      <c r="O672" t="str" cm="1">
        <f t="array" ref="O672">_xlfn.IFS(J672="M", "Medium", J672="L", "Light", J672="D", "Dark", TRUE, "")</f>
        <v>Medium</v>
      </c>
      <c r="P672" t="str">
        <f>_xlfn.XLOOKUP(Table1[[#This Row],[Customer ID]], customers!$A$1:$A$1001, customers!$I$1:$I$1001,, 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INDEX(Product!$A$1:$G$49,MATCH(orders!$D673,Product!$A$1:$A$49,0),MATCH(orders!I$1,Product!$A$1:$G$1,0))</f>
        <v>Rob</v>
      </c>
      <c r="J673" t="str">
        <f>INDEX(Product!$A$1:$G$49,MATCH(orders!$D673,Product!$A$1:$A$49,0),MATCH(orders!J$1,Product!$A$1:$G$1,0))</f>
        <v>L</v>
      </c>
      <c r="K673" s="4">
        <f>INDEX(Product!$A$1:$G$49,MATCH(orders!$D673,Product!$A$1:$A$49,0),MATCH(orders!K$1,Product!$A$1:$G$1,0))</f>
        <v>1</v>
      </c>
      <c r="L673" s="5">
        <f>INDEX(Product!$A$1:$G$49,MATCH(orders!$D673,Product!$A$1:$A$49,0),MATCH(orders!L$1,Product!$A$1:$G$1,0))</f>
        <v>11.95</v>
      </c>
      <c r="M673" s="5">
        <f t="shared" si="10"/>
        <v>59.75</v>
      </c>
      <c r="N673" t="str" cm="1">
        <f t="array" ref="N673">_xlfn.IFS(I673="Rob", "Robusta", I673="Exc", "Excelsa", I673="Ara", "Arabica", I673="Lib", "Liberica", TRUE, "")</f>
        <v>Robusta</v>
      </c>
      <c r="O673" t="str" cm="1">
        <f t="array" ref="O673">_xlfn.IFS(J673="M", "Medium", J673="L", "Light", J673="D", "Dark", TRUE, "")</f>
        <v>Light</v>
      </c>
      <c r="P673" t="str">
        <f>_xlfn.XLOOKUP(Table1[[#This Row],[Customer ID]], customers!$A$1:$A$1001, customers!$I$1:$I$1001,, 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INDEX(Product!$A$1:$G$49,MATCH(orders!$D674,Product!$A$1:$A$49,0),MATCH(orders!I$1,Product!$A$1:$G$1,0))</f>
        <v>Lib</v>
      </c>
      <c r="J674" t="str">
        <f>INDEX(Product!$A$1:$G$49,MATCH(orders!$D674,Product!$A$1:$A$49,0),MATCH(orders!J$1,Product!$A$1:$G$1,0))</f>
        <v>M</v>
      </c>
      <c r="K674" s="4">
        <f>INDEX(Product!$A$1:$G$49,MATCH(orders!$D674,Product!$A$1:$A$49,0),MATCH(orders!K$1,Product!$A$1:$G$1,0))</f>
        <v>0.5</v>
      </c>
      <c r="L674" s="5">
        <f>INDEX(Product!$A$1:$G$49,MATCH(orders!$D674,Product!$A$1:$A$49,0),MATCH(orders!L$1,Product!$A$1:$G$1,0))</f>
        <v>8.73</v>
      </c>
      <c r="M674" s="5">
        <f t="shared" si="10"/>
        <v>43.650000000000006</v>
      </c>
      <c r="N674" t="str" cm="1">
        <f t="array" ref="N674">_xlfn.IFS(I674="Rob", "Robusta", I674="Exc", "Excelsa", I674="Ara", "Arabica", I674="Lib", "Liberica", TRUE, "")</f>
        <v>Liberica</v>
      </c>
      <c r="O674" t="str" cm="1">
        <f t="array" ref="O674">_xlfn.IFS(J674="M", "Medium", J674="L", "Light", J674="D", "Dark", TRUE, "")</f>
        <v>Medium</v>
      </c>
      <c r="P674" t="str">
        <f>_xlfn.XLOOKUP(Table1[[#This Row],[Customer ID]], customers!$A$1:$A$1001, customers!$I$1:$I$1001,, 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INDEX(Product!$A$1:$G$49,MATCH(orders!$D675,Product!$A$1:$A$49,0),MATCH(orders!I$1,Product!$A$1:$G$1,0))</f>
        <v>Exc</v>
      </c>
      <c r="J675" t="str">
        <f>INDEX(Product!$A$1:$G$49,MATCH(orders!$D675,Product!$A$1:$A$49,0),MATCH(orders!J$1,Product!$A$1:$G$1,0))</f>
        <v>M</v>
      </c>
      <c r="K675" s="4">
        <f>INDEX(Product!$A$1:$G$49,MATCH(orders!$D675,Product!$A$1:$A$49,0),MATCH(orders!K$1,Product!$A$1:$G$1,0))</f>
        <v>1</v>
      </c>
      <c r="L675" s="5">
        <f>INDEX(Product!$A$1:$G$49,MATCH(orders!$D675,Product!$A$1:$A$49,0),MATCH(orders!L$1,Product!$A$1:$G$1,0))</f>
        <v>13.75</v>
      </c>
      <c r="M675" s="5">
        <f t="shared" si="10"/>
        <v>82.5</v>
      </c>
      <c r="N675" t="str" cm="1">
        <f t="array" ref="N675">_xlfn.IFS(I675="Rob", "Robusta", I675="Exc", "Excelsa", I675="Ara", "Arabica", I675="Lib", "Liberica", TRUE, "")</f>
        <v>Excelsa</v>
      </c>
      <c r="O675" t="str" cm="1">
        <f t="array" ref="O675">_xlfn.IFS(J675="M", "Medium", J675="L", "Light", J675="D", "Dark", TRUE, "")</f>
        <v>Medium</v>
      </c>
      <c r="P675" t="str">
        <f>_xlfn.XLOOKUP(Table1[[#This Row],[Customer ID]], customers!$A$1:$A$1001, customers!$I$1:$I$1001,, 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INDEX(Product!$A$1:$G$49,MATCH(orders!$D676,Product!$A$1:$A$49,0),MATCH(orders!I$1,Product!$A$1:$G$1,0))</f>
        <v>Ara</v>
      </c>
      <c r="J676" t="str">
        <f>INDEX(Product!$A$1:$G$49,MATCH(orders!$D676,Product!$A$1:$A$49,0),MATCH(orders!J$1,Product!$A$1:$G$1,0))</f>
        <v>L</v>
      </c>
      <c r="K676" s="4">
        <f>INDEX(Product!$A$1:$G$49,MATCH(orders!$D676,Product!$A$1:$A$49,0),MATCH(orders!K$1,Product!$A$1:$G$1,0))</f>
        <v>2.5</v>
      </c>
      <c r="L676" s="5">
        <f>INDEX(Product!$A$1:$G$49,MATCH(orders!$D676,Product!$A$1:$A$49,0),MATCH(orders!L$1,Product!$A$1:$G$1,0))</f>
        <v>29.784999999999997</v>
      </c>
      <c r="M676" s="5">
        <f t="shared" si="10"/>
        <v>178.70999999999998</v>
      </c>
      <c r="N676" t="str" cm="1">
        <f t="array" ref="N676">_xlfn.IFS(I676="Rob", "Robusta", I676="Exc", "Excelsa", I676="Ara", "Arabica", I676="Lib", "Liberica", TRUE, "")</f>
        <v>Arabica</v>
      </c>
      <c r="O676" t="str" cm="1">
        <f t="array" ref="O676">_xlfn.IFS(J676="M", "Medium", J676="L", "Light", J676="D", "Dark", TRUE, "")</f>
        <v>Light</v>
      </c>
      <c r="P676" t="str">
        <f>_xlfn.XLOOKUP(Table1[[#This Row],[Customer ID]], customers!$A$1:$A$1001, customers!$I$1:$I$1001,, 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INDEX(Product!$A$1:$G$49,MATCH(orders!$D677,Product!$A$1:$A$49,0),MATCH(orders!I$1,Product!$A$1:$G$1,0))</f>
        <v>Lib</v>
      </c>
      <c r="J677" t="str">
        <f>INDEX(Product!$A$1:$G$49,MATCH(orders!$D677,Product!$A$1:$A$49,0),MATCH(orders!J$1,Product!$A$1:$G$1,0))</f>
        <v>D</v>
      </c>
      <c r="K677" s="4">
        <f>INDEX(Product!$A$1:$G$49,MATCH(orders!$D677,Product!$A$1:$A$49,0),MATCH(orders!K$1,Product!$A$1:$G$1,0))</f>
        <v>2.5</v>
      </c>
      <c r="L677" s="5">
        <f>INDEX(Product!$A$1:$G$49,MATCH(orders!$D677,Product!$A$1:$A$49,0),MATCH(orders!L$1,Product!$A$1:$G$1,0))</f>
        <v>29.784999999999997</v>
      </c>
      <c r="M677" s="5">
        <f t="shared" si="10"/>
        <v>119.13999999999999</v>
      </c>
      <c r="N677" t="str" cm="1">
        <f t="array" ref="N677">_xlfn.IFS(I677="Rob", "Robusta", I677="Exc", "Excelsa", I677="Ara", "Arabica", I677="Lib", "Liberica", TRUE, "")</f>
        <v>Liberica</v>
      </c>
      <c r="O677" t="str" cm="1">
        <f t="array" ref="O677">_xlfn.IFS(J677="M", "Medium", J677="L", "Light", J677="D", "Dark", TRUE, "")</f>
        <v>Dark</v>
      </c>
      <c r="P677" t="str">
        <f>_xlfn.XLOOKUP(Table1[[#This Row],[Customer ID]], customers!$A$1:$A$1001, customers!$I$1:$I$1001,, 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INDEX(Product!$A$1:$G$49,MATCH(orders!$D678,Product!$A$1:$A$49,0),MATCH(orders!I$1,Product!$A$1:$G$1,0))</f>
        <v>Lib</v>
      </c>
      <c r="J678" t="str">
        <f>INDEX(Product!$A$1:$G$49,MATCH(orders!$D678,Product!$A$1:$A$49,0),MATCH(orders!J$1,Product!$A$1:$G$1,0))</f>
        <v>L</v>
      </c>
      <c r="K678" s="4">
        <f>INDEX(Product!$A$1:$G$49,MATCH(orders!$D678,Product!$A$1:$A$49,0),MATCH(orders!K$1,Product!$A$1:$G$1,0))</f>
        <v>0.5</v>
      </c>
      <c r="L678" s="5">
        <f>INDEX(Product!$A$1:$G$49,MATCH(orders!$D678,Product!$A$1:$A$49,0),MATCH(orders!L$1,Product!$A$1:$G$1,0))</f>
        <v>9.51</v>
      </c>
      <c r="M678" s="5">
        <f t="shared" si="10"/>
        <v>47.55</v>
      </c>
      <c r="N678" t="str" cm="1">
        <f t="array" ref="N678">_xlfn.IFS(I678="Rob", "Robusta", I678="Exc", "Excelsa", I678="Ara", "Arabica", I678="Lib", "Liberica", TRUE, "")</f>
        <v>Liberica</v>
      </c>
      <c r="O678" t="str" cm="1">
        <f t="array" ref="O678">_xlfn.IFS(J678="M", "Medium", J678="L", "Light", J678="D", "Dark", TRUE, "")</f>
        <v>Light</v>
      </c>
      <c r="P678" t="str">
        <f>_xlfn.XLOOKUP(Table1[[#This Row],[Customer ID]], customers!$A$1:$A$1001, customers!$I$1:$I$1001,, 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INDEX(Product!$A$1:$G$49,MATCH(orders!$D679,Product!$A$1:$A$49,0),MATCH(orders!I$1,Product!$A$1:$G$1,0))</f>
        <v>Lib</v>
      </c>
      <c r="J679" t="str">
        <f>INDEX(Product!$A$1:$G$49,MATCH(orders!$D679,Product!$A$1:$A$49,0),MATCH(orders!J$1,Product!$A$1:$G$1,0))</f>
        <v>M</v>
      </c>
      <c r="K679" s="4">
        <f>INDEX(Product!$A$1:$G$49,MATCH(orders!$D679,Product!$A$1:$A$49,0),MATCH(orders!K$1,Product!$A$1:$G$1,0))</f>
        <v>0.5</v>
      </c>
      <c r="L679" s="5">
        <f>INDEX(Product!$A$1:$G$49,MATCH(orders!$D679,Product!$A$1:$A$49,0),MATCH(orders!L$1,Product!$A$1:$G$1,0))</f>
        <v>8.73</v>
      </c>
      <c r="M679" s="5">
        <f t="shared" si="10"/>
        <v>43.650000000000006</v>
      </c>
      <c r="N679" t="str" cm="1">
        <f t="array" ref="N679">_xlfn.IFS(I679="Rob", "Robusta", I679="Exc", "Excelsa", I679="Ara", "Arabica", I679="Lib", "Liberica", TRUE, "")</f>
        <v>Liberica</v>
      </c>
      <c r="O679" t="str" cm="1">
        <f t="array" ref="O679">_xlfn.IFS(J679="M", "Medium", J679="L", "Light", J679="D", "Dark", TRUE, "")</f>
        <v>Medium</v>
      </c>
      <c r="P679" t="str">
        <f>_xlfn.XLOOKUP(Table1[[#This Row],[Customer ID]], customers!$A$1:$A$1001, customers!$I$1:$I$1001,, 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INDEX(Product!$A$1:$G$49,MATCH(orders!$D680,Product!$A$1:$A$49,0),MATCH(orders!I$1,Product!$A$1:$G$1,0))</f>
        <v>Ara</v>
      </c>
      <c r="J680" t="str">
        <f>INDEX(Product!$A$1:$G$49,MATCH(orders!$D680,Product!$A$1:$A$49,0),MATCH(orders!J$1,Product!$A$1:$G$1,0))</f>
        <v>L</v>
      </c>
      <c r="K680" s="4">
        <f>INDEX(Product!$A$1:$G$49,MATCH(orders!$D680,Product!$A$1:$A$49,0),MATCH(orders!K$1,Product!$A$1:$G$1,0))</f>
        <v>2.5</v>
      </c>
      <c r="L680" s="5">
        <f>INDEX(Product!$A$1:$G$49,MATCH(orders!$D680,Product!$A$1:$A$49,0),MATCH(orders!L$1,Product!$A$1:$G$1,0))</f>
        <v>29.784999999999997</v>
      </c>
      <c r="M680" s="5">
        <f t="shared" si="10"/>
        <v>178.70999999999998</v>
      </c>
      <c r="N680" t="str" cm="1">
        <f t="array" ref="N680">_xlfn.IFS(I680="Rob", "Robusta", I680="Exc", "Excelsa", I680="Ara", "Arabica", I680="Lib", "Liberica", TRUE, "")</f>
        <v>Arabica</v>
      </c>
      <c r="O680" t="str" cm="1">
        <f t="array" ref="O680">_xlfn.IFS(J680="M", "Medium", J680="L", "Light", J680="D", "Dark", TRUE, "")</f>
        <v>Light</v>
      </c>
      <c r="P680" t="str">
        <f>_xlfn.XLOOKUP(Table1[[#This Row],[Customer ID]], customers!$A$1:$A$1001, customers!$I$1:$I$1001,, 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INDEX(Product!$A$1:$G$49,MATCH(orders!$D681,Product!$A$1:$A$49,0),MATCH(orders!I$1,Product!$A$1:$G$1,0))</f>
        <v>Rob</v>
      </c>
      <c r="J681" t="str">
        <f>INDEX(Product!$A$1:$G$49,MATCH(orders!$D681,Product!$A$1:$A$49,0),MATCH(orders!J$1,Product!$A$1:$G$1,0))</f>
        <v>L</v>
      </c>
      <c r="K681" s="4">
        <f>INDEX(Product!$A$1:$G$49,MATCH(orders!$D681,Product!$A$1:$A$49,0),MATCH(orders!K$1,Product!$A$1:$G$1,0))</f>
        <v>2.5</v>
      </c>
      <c r="L681" s="5">
        <f>INDEX(Product!$A$1:$G$49,MATCH(orders!$D681,Product!$A$1:$A$49,0),MATCH(orders!L$1,Product!$A$1:$G$1,0))</f>
        <v>27.484999999999996</v>
      </c>
      <c r="M681" s="5">
        <f t="shared" si="10"/>
        <v>27.484999999999996</v>
      </c>
      <c r="N681" t="str" cm="1">
        <f t="array" ref="N681">_xlfn.IFS(I681="Rob", "Robusta", I681="Exc", "Excelsa", I681="Ara", "Arabica", I681="Lib", "Liberica", TRUE, "")</f>
        <v>Robusta</v>
      </c>
      <c r="O681" t="str" cm="1">
        <f t="array" ref="O681">_xlfn.IFS(J681="M", "Medium", J681="L", "Light", J681="D", "Dark", TRUE, "")</f>
        <v>Light</v>
      </c>
      <c r="P681" t="str">
        <f>_xlfn.XLOOKUP(Table1[[#This Row],[Customer ID]], customers!$A$1:$A$1001, customers!$I$1:$I$1001,, 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INDEX(Product!$A$1:$G$49,MATCH(orders!$D682,Product!$A$1:$A$49,0),MATCH(orders!I$1,Product!$A$1:$G$1,0))</f>
        <v>Ara</v>
      </c>
      <c r="J682" t="str">
        <f>INDEX(Product!$A$1:$G$49,MATCH(orders!$D682,Product!$A$1:$A$49,0),MATCH(orders!J$1,Product!$A$1:$G$1,0))</f>
        <v>M</v>
      </c>
      <c r="K682" s="4">
        <f>INDEX(Product!$A$1:$G$49,MATCH(orders!$D682,Product!$A$1:$A$49,0),MATCH(orders!K$1,Product!$A$1:$G$1,0))</f>
        <v>1</v>
      </c>
      <c r="L682" s="5">
        <f>INDEX(Product!$A$1:$G$49,MATCH(orders!$D682,Product!$A$1:$A$49,0),MATCH(orders!L$1,Product!$A$1:$G$1,0))</f>
        <v>11.25</v>
      </c>
      <c r="M682" s="5">
        <f t="shared" si="10"/>
        <v>56.25</v>
      </c>
      <c r="N682" t="str" cm="1">
        <f t="array" ref="N682">_xlfn.IFS(I682="Rob", "Robusta", I682="Exc", "Excelsa", I682="Ara", "Arabica", I682="Lib", "Liberica", TRUE, "")</f>
        <v>Arabica</v>
      </c>
      <c r="O682" t="str" cm="1">
        <f t="array" ref="O682">_xlfn.IFS(J682="M", "Medium", J682="L", "Light", J682="D", "Dark", TRUE, "")</f>
        <v>Medium</v>
      </c>
      <c r="P682" t="str">
        <f>_xlfn.XLOOKUP(Table1[[#This Row],[Customer ID]], customers!$A$1:$A$1001, customers!$I$1:$I$1001,, 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INDEX(Product!$A$1:$G$49,MATCH(orders!$D683,Product!$A$1:$A$49,0),MATCH(orders!I$1,Product!$A$1:$G$1,0))</f>
        <v>Lib</v>
      </c>
      <c r="J683" t="str">
        <f>INDEX(Product!$A$1:$G$49,MATCH(orders!$D683,Product!$A$1:$A$49,0),MATCH(orders!J$1,Product!$A$1:$G$1,0))</f>
        <v>L</v>
      </c>
      <c r="K683" s="4">
        <f>INDEX(Product!$A$1:$G$49,MATCH(orders!$D683,Product!$A$1:$A$49,0),MATCH(orders!K$1,Product!$A$1:$G$1,0))</f>
        <v>0.2</v>
      </c>
      <c r="L683" s="5">
        <f>INDEX(Product!$A$1:$G$49,MATCH(orders!$D683,Product!$A$1:$A$49,0),MATCH(orders!L$1,Product!$A$1:$G$1,0))</f>
        <v>4.7549999999999999</v>
      </c>
      <c r="M683" s="5">
        <f t="shared" si="10"/>
        <v>9.51</v>
      </c>
      <c r="N683" t="str" cm="1">
        <f t="array" ref="N683">_xlfn.IFS(I683="Rob", "Robusta", I683="Exc", "Excelsa", I683="Ara", "Arabica", I683="Lib", "Liberica", TRUE, "")</f>
        <v>Liberica</v>
      </c>
      <c r="O683" t="str" cm="1">
        <f t="array" ref="O683">_xlfn.IFS(J683="M", "Medium", J683="L", "Light", J683="D", "Dark", TRUE, "")</f>
        <v>Light</v>
      </c>
      <c r="P683" t="str">
        <f>_xlfn.XLOOKUP(Table1[[#This Row],[Customer ID]], customers!$A$1:$A$1001, customers!$I$1:$I$1001,, 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INDEX(Product!$A$1:$G$49,MATCH(orders!$D684,Product!$A$1:$A$49,0),MATCH(orders!I$1,Product!$A$1:$G$1,0))</f>
        <v>Exc</v>
      </c>
      <c r="J684" t="str">
        <f>INDEX(Product!$A$1:$G$49,MATCH(orders!$D684,Product!$A$1:$A$49,0),MATCH(orders!J$1,Product!$A$1:$G$1,0))</f>
        <v>M</v>
      </c>
      <c r="K684" s="4">
        <f>INDEX(Product!$A$1:$G$49,MATCH(orders!$D684,Product!$A$1:$A$49,0),MATCH(orders!K$1,Product!$A$1:$G$1,0))</f>
        <v>0.2</v>
      </c>
      <c r="L684" s="5">
        <f>INDEX(Product!$A$1:$G$49,MATCH(orders!$D684,Product!$A$1:$A$49,0),MATCH(orders!L$1,Product!$A$1:$G$1,0))</f>
        <v>4.125</v>
      </c>
      <c r="M684" s="5">
        <f t="shared" si="10"/>
        <v>8.25</v>
      </c>
      <c r="N684" t="str" cm="1">
        <f t="array" ref="N684">_xlfn.IFS(I684="Rob", "Robusta", I684="Exc", "Excelsa", I684="Ara", "Arabica", I684="Lib", "Liberica", TRUE, "")</f>
        <v>Excelsa</v>
      </c>
      <c r="O684" t="str" cm="1">
        <f t="array" ref="O684">_xlfn.IFS(J684="M", "Medium", J684="L", "Light", J684="D", "Dark", TRUE, "")</f>
        <v>Medium</v>
      </c>
      <c r="P684" t="str">
        <f>_xlfn.XLOOKUP(Table1[[#This Row],[Customer ID]], customers!$A$1:$A$1001, customers!$I$1:$I$1001,, 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INDEX(Product!$A$1:$G$49,MATCH(orders!$D685,Product!$A$1:$A$49,0),MATCH(orders!I$1,Product!$A$1:$G$1,0))</f>
        <v>Lib</v>
      </c>
      <c r="J685" t="str">
        <f>INDEX(Product!$A$1:$G$49,MATCH(orders!$D685,Product!$A$1:$A$49,0),MATCH(orders!J$1,Product!$A$1:$G$1,0))</f>
        <v>D</v>
      </c>
      <c r="K685" s="4">
        <f>INDEX(Product!$A$1:$G$49,MATCH(orders!$D685,Product!$A$1:$A$49,0),MATCH(orders!K$1,Product!$A$1:$G$1,0))</f>
        <v>0.5</v>
      </c>
      <c r="L685" s="5">
        <f>INDEX(Product!$A$1:$G$49,MATCH(orders!$D685,Product!$A$1:$A$49,0),MATCH(orders!L$1,Product!$A$1:$G$1,0))</f>
        <v>7.77</v>
      </c>
      <c r="M685" s="5">
        <f t="shared" si="10"/>
        <v>46.62</v>
      </c>
      <c r="N685" t="str" cm="1">
        <f t="array" ref="N685">_xlfn.IFS(I685="Rob", "Robusta", I685="Exc", "Excelsa", I685="Ara", "Arabica", I685="Lib", "Liberica", TRUE, "")</f>
        <v>Liberica</v>
      </c>
      <c r="O685" t="str" cm="1">
        <f t="array" ref="O685">_xlfn.IFS(J685="M", "Medium", J685="L", "Light", J685="D", "Dark", TRUE, "")</f>
        <v>Dark</v>
      </c>
      <c r="P685" t="str">
        <f>_xlfn.XLOOKUP(Table1[[#This Row],[Customer ID]], customers!$A$1:$A$1001, customers!$I$1:$I$1001,, 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INDEX(Product!$A$1:$G$49,MATCH(orders!$D686,Product!$A$1:$A$49,0),MATCH(orders!I$1,Product!$A$1:$G$1,0))</f>
        <v>Rob</v>
      </c>
      <c r="J686" t="str">
        <f>INDEX(Product!$A$1:$G$49,MATCH(orders!$D686,Product!$A$1:$A$49,0),MATCH(orders!J$1,Product!$A$1:$G$1,0))</f>
        <v>L</v>
      </c>
      <c r="K686" s="4">
        <f>INDEX(Product!$A$1:$G$49,MATCH(orders!$D686,Product!$A$1:$A$49,0),MATCH(orders!K$1,Product!$A$1:$G$1,0))</f>
        <v>1</v>
      </c>
      <c r="L686" s="5">
        <f>INDEX(Product!$A$1:$G$49,MATCH(orders!$D686,Product!$A$1:$A$49,0),MATCH(orders!L$1,Product!$A$1:$G$1,0))</f>
        <v>11.95</v>
      </c>
      <c r="M686" s="5">
        <f t="shared" si="10"/>
        <v>71.699999999999989</v>
      </c>
      <c r="N686" t="str" cm="1">
        <f t="array" ref="N686">_xlfn.IFS(I686="Rob", "Robusta", I686="Exc", "Excelsa", I686="Ara", "Arabica", I686="Lib", "Liberica", TRUE, "")</f>
        <v>Robusta</v>
      </c>
      <c r="O686" t="str" cm="1">
        <f t="array" ref="O686">_xlfn.IFS(J686="M", "Medium", J686="L", "Light", J686="D", "Dark", TRUE, "")</f>
        <v>Light</v>
      </c>
      <c r="P686" t="str">
        <f>_xlfn.XLOOKUP(Table1[[#This Row],[Customer ID]], customers!$A$1:$A$1001, customers!$I$1:$I$1001,, 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INDEX(Product!$A$1:$G$49,MATCH(orders!$D687,Product!$A$1:$A$49,0),MATCH(orders!I$1,Product!$A$1:$G$1,0))</f>
        <v>Lib</v>
      </c>
      <c r="J687" t="str">
        <f>INDEX(Product!$A$1:$G$49,MATCH(orders!$D687,Product!$A$1:$A$49,0),MATCH(orders!J$1,Product!$A$1:$G$1,0))</f>
        <v>L</v>
      </c>
      <c r="K687" s="4">
        <f>INDEX(Product!$A$1:$G$49,MATCH(orders!$D687,Product!$A$1:$A$49,0),MATCH(orders!K$1,Product!$A$1:$G$1,0))</f>
        <v>2.5</v>
      </c>
      <c r="L687" s="5">
        <f>INDEX(Product!$A$1:$G$49,MATCH(orders!$D687,Product!$A$1:$A$49,0),MATCH(orders!L$1,Product!$A$1:$G$1,0))</f>
        <v>36.454999999999998</v>
      </c>
      <c r="M687" s="5">
        <f t="shared" si="10"/>
        <v>72.91</v>
      </c>
      <c r="N687" t="str" cm="1">
        <f t="array" ref="N687">_xlfn.IFS(I687="Rob", "Robusta", I687="Exc", "Excelsa", I687="Ara", "Arabica", I687="Lib", "Liberica", TRUE, "")</f>
        <v>Liberica</v>
      </c>
      <c r="O687" t="str" cm="1">
        <f t="array" ref="O687">_xlfn.IFS(J687="M", "Medium", J687="L", "Light", J687="D", "Dark", TRUE, "")</f>
        <v>Light</v>
      </c>
      <c r="P687" t="str">
        <f>_xlfn.XLOOKUP(Table1[[#This Row],[Customer ID]], customers!$A$1:$A$1001, customers!$I$1:$I$1001,, 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INDEX(Product!$A$1:$G$49,MATCH(orders!$D688,Product!$A$1:$A$49,0),MATCH(orders!I$1,Product!$A$1:$G$1,0))</f>
        <v>Rob</v>
      </c>
      <c r="J688" t="str">
        <f>INDEX(Product!$A$1:$G$49,MATCH(orders!$D688,Product!$A$1:$A$49,0),MATCH(orders!J$1,Product!$A$1:$G$1,0))</f>
        <v>D</v>
      </c>
      <c r="K688" s="4">
        <f>INDEX(Product!$A$1:$G$49,MATCH(orders!$D688,Product!$A$1:$A$49,0),MATCH(orders!K$1,Product!$A$1:$G$1,0))</f>
        <v>0.2</v>
      </c>
      <c r="L688" s="5">
        <f>INDEX(Product!$A$1:$G$49,MATCH(orders!$D688,Product!$A$1:$A$49,0),MATCH(orders!L$1,Product!$A$1:$G$1,0))</f>
        <v>2.6849999999999996</v>
      </c>
      <c r="M688" s="5">
        <f t="shared" si="10"/>
        <v>8.0549999999999997</v>
      </c>
      <c r="N688" t="str" cm="1">
        <f t="array" ref="N688">_xlfn.IFS(I688="Rob", "Robusta", I688="Exc", "Excelsa", I688="Ara", "Arabica", I688="Lib", "Liberica", TRUE, "")</f>
        <v>Robusta</v>
      </c>
      <c r="O688" t="str" cm="1">
        <f t="array" ref="O688">_xlfn.IFS(J688="M", "Medium", J688="L", "Light", J688="D", "Dark", TRUE, "")</f>
        <v>Dark</v>
      </c>
      <c r="P688" t="str">
        <f>_xlfn.XLOOKUP(Table1[[#This Row],[Customer ID]], customers!$A$1:$A$1001, customers!$I$1:$I$1001,, 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INDEX(Product!$A$1:$G$49,MATCH(orders!$D689,Product!$A$1:$A$49,0),MATCH(orders!I$1,Product!$A$1:$G$1,0))</f>
        <v>Exc</v>
      </c>
      <c r="J689" t="str">
        <f>INDEX(Product!$A$1:$G$49,MATCH(orders!$D689,Product!$A$1:$A$49,0),MATCH(orders!J$1,Product!$A$1:$G$1,0))</f>
        <v>M</v>
      </c>
      <c r="K689" s="4">
        <f>INDEX(Product!$A$1:$G$49,MATCH(orders!$D689,Product!$A$1:$A$49,0),MATCH(orders!K$1,Product!$A$1:$G$1,0))</f>
        <v>0.5</v>
      </c>
      <c r="L689" s="5">
        <f>INDEX(Product!$A$1:$G$49,MATCH(orders!$D689,Product!$A$1:$A$49,0),MATCH(orders!L$1,Product!$A$1:$G$1,0))</f>
        <v>8.25</v>
      </c>
      <c r="M689" s="5">
        <f t="shared" si="10"/>
        <v>16.5</v>
      </c>
      <c r="N689" t="str" cm="1">
        <f t="array" ref="N689">_xlfn.IFS(I689="Rob", "Robusta", I689="Exc", "Excelsa", I689="Ara", "Arabica", I689="Lib", "Liberica", TRUE, "")</f>
        <v>Excelsa</v>
      </c>
      <c r="O689" t="str" cm="1">
        <f t="array" ref="O689">_xlfn.IFS(J689="M", "Medium", J689="L", "Light", J689="D", "Dark", TRUE, "")</f>
        <v>Medium</v>
      </c>
      <c r="P689" t="str">
        <f>_xlfn.XLOOKUP(Table1[[#This Row],[Customer ID]], customers!$A$1:$A$1001, customers!$I$1:$I$1001,, 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INDEX(Product!$A$1:$G$49,MATCH(orders!$D690,Product!$A$1:$A$49,0),MATCH(orders!I$1,Product!$A$1:$G$1,0))</f>
        <v>Ara</v>
      </c>
      <c r="J690" t="str">
        <f>INDEX(Product!$A$1:$G$49,MATCH(orders!$D690,Product!$A$1:$A$49,0),MATCH(orders!J$1,Product!$A$1:$G$1,0))</f>
        <v>L</v>
      </c>
      <c r="K690" s="4">
        <f>INDEX(Product!$A$1:$G$49,MATCH(orders!$D690,Product!$A$1:$A$49,0),MATCH(orders!K$1,Product!$A$1:$G$1,0))</f>
        <v>1</v>
      </c>
      <c r="L690" s="5">
        <f>INDEX(Product!$A$1:$G$49,MATCH(orders!$D690,Product!$A$1:$A$49,0),MATCH(orders!L$1,Product!$A$1:$G$1,0))</f>
        <v>12.95</v>
      </c>
      <c r="M690" s="5">
        <f t="shared" si="10"/>
        <v>64.75</v>
      </c>
      <c r="N690" t="str" cm="1">
        <f t="array" ref="N690">_xlfn.IFS(I690="Rob", "Robusta", I690="Exc", "Excelsa", I690="Ara", "Arabica", I690="Lib", "Liberica", TRUE, "")</f>
        <v>Arabica</v>
      </c>
      <c r="O690" t="str" cm="1">
        <f t="array" ref="O690">_xlfn.IFS(J690="M", "Medium", J690="L", "Light", J690="D", "Dark", TRUE, "")</f>
        <v>Light</v>
      </c>
      <c r="P690" t="str">
        <f>_xlfn.XLOOKUP(Table1[[#This Row],[Customer ID]], customers!$A$1:$A$1001, customers!$I$1:$I$1001,, 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INDEX(Product!$A$1:$G$49,MATCH(orders!$D691,Product!$A$1:$A$49,0),MATCH(orders!I$1,Product!$A$1:$G$1,0))</f>
        <v>Ara</v>
      </c>
      <c r="J691" t="str">
        <f>INDEX(Product!$A$1:$G$49,MATCH(orders!$D691,Product!$A$1:$A$49,0),MATCH(orders!J$1,Product!$A$1:$G$1,0))</f>
        <v>M</v>
      </c>
      <c r="K691" s="4">
        <f>INDEX(Product!$A$1:$G$49,MATCH(orders!$D691,Product!$A$1:$A$49,0),MATCH(orders!K$1,Product!$A$1:$G$1,0))</f>
        <v>0.5</v>
      </c>
      <c r="L691" s="5">
        <f>INDEX(Product!$A$1:$G$49,MATCH(orders!$D691,Product!$A$1:$A$49,0),MATCH(orders!L$1,Product!$A$1:$G$1,0))</f>
        <v>6.75</v>
      </c>
      <c r="M691" s="5">
        <f t="shared" si="10"/>
        <v>33.75</v>
      </c>
      <c r="N691" t="str" cm="1">
        <f t="array" ref="N691">_xlfn.IFS(I691="Rob", "Robusta", I691="Exc", "Excelsa", I691="Ara", "Arabica", I691="Lib", "Liberica", TRUE, "")</f>
        <v>Arabica</v>
      </c>
      <c r="O691" t="str" cm="1">
        <f t="array" ref="O691">_xlfn.IFS(J691="M", "Medium", J691="L", "Light", J691="D", "Dark", TRUE, "")</f>
        <v>Medium</v>
      </c>
      <c r="P691" t="str">
        <f>_xlfn.XLOOKUP(Table1[[#This Row],[Customer ID]], customers!$A$1:$A$1001, customers!$I$1:$I$1001,, 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INDEX(Product!$A$1:$G$49,MATCH(orders!$D692,Product!$A$1:$A$49,0),MATCH(orders!I$1,Product!$A$1:$G$1,0))</f>
        <v>Lib</v>
      </c>
      <c r="J692" t="str">
        <f>INDEX(Product!$A$1:$G$49,MATCH(orders!$D692,Product!$A$1:$A$49,0),MATCH(orders!J$1,Product!$A$1:$G$1,0))</f>
        <v>D</v>
      </c>
      <c r="K692" s="4">
        <f>INDEX(Product!$A$1:$G$49,MATCH(orders!$D692,Product!$A$1:$A$49,0),MATCH(orders!K$1,Product!$A$1:$G$1,0))</f>
        <v>2.5</v>
      </c>
      <c r="L692" s="5">
        <f>INDEX(Product!$A$1:$G$49,MATCH(orders!$D692,Product!$A$1:$A$49,0),MATCH(orders!L$1,Product!$A$1:$G$1,0))</f>
        <v>29.784999999999997</v>
      </c>
      <c r="M692" s="5">
        <f t="shared" si="10"/>
        <v>178.70999999999998</v>
      </c>
      <c r="N692" t="str" cm="1">
        <f t="array" ref="N692">_xlfn.IFS(I692="Rob", "Robusta", I692="Exc", "Excelsa", I692="Ara", "Arabica", I692="Lib", "Liberica", TRUE, "")</f>
        <v>Liberica</v>
      </c>
      <c r="O692" t="str" cm="1">
        <f t="array" ref="O692">_xlfn.IFS(J692="M", "Medium", J692="L", "Light", J692="D", "Dark", TRUE, "")</f>
        <v>Dark</v>
      </c>
      <c r="P692" t="str">
        <f>_xlfn.XLOOKUP(Table1[[#This Row],[Customer ID]], customers!$A$1:$A$1001, customers!$I$1:$I$1001,, 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INDEX(Product!$A$1:$G$49,MATCH(orders!$D693,Product!$A$1:$A$49,0),MATCH(orders!I$1,Product!$A$1:$G$1,0))</f>
        <v>Ara</v>
      </c>
      <c r="J693" t="str">
        <f>INDEX(Product!$A$1:$G$49,MATCH(orders!$D693,Product!$A$1:$A$49,0),MATCH(orders!J$1,Product!$A$1:$G$1,0))</f>
        <v>M</v>
      </c>
      <c r="K693" s="4">
        <f>INDEX(Product!$A$1:$G$49,MATCH(orders!$D693,Product!$A$1:$A$49,0),MATCH(orders!K$1,Product!$A$1:$G$1,0))</f>
        <v>1</v>
      </c>
      <c r="L693" s="5">
        <f>INDEX(Product!$A$1:$G$49,MATCH(orders!$D693,Product!$A$1:$A$49,0),MATCH(orders!L$1,Product!$A$1:$G$1,0))</f>
        <v>11.25</v>
      </c>
      <c r="M693" s="5">
        <f t="shared" si="10"/>
        <v>22.5</v>
      </c>
      <c r="N693" t="str" cm="1">
        <f t="array" ref="N693">_xlfn.IFS(I693="Rob", "Robusta", I693="Exc", "Excelsa", I693="Ara", "Arabica", I693="Lib", "Liberica", TRUE, "")</f>
        <v>Arabica</v>
      </c>
      <c r="O693" t="str" cm="1">
        <f t="array" ref="O693">_xlfn.IFS(J693="M", "Medium", J693="L", "Light", J693="D", "Dark", TRUE, "")</f>
        <v>Medium</v>
      </c>
      <c r="P693" t="str">
        <f>_xlfn.XLOOKUP(Table1[[#This Row],[Customer ID]], customers!$A$1:$A$1001, customers!$I$1:$I$1001,, 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INDEX(Product!$A$1:$G$49,MATCH(orders!$D694,Product!$A$1:$A$49,0),MATCH(orders!I$1,Product!$A$1:$G$1,0))</f>
        <v>Lib</v>
      </c>
      <c r="J694" t="str">
        <f>INDEX(Product!$A$1:$G$49,MATCH(orders!$D694,Product!$A$1:$A$49,0),MATCH(orders!J$1,Product!$A$1:$G$1,0))</f>
        <v>D</v>
      </c>
      <c r="K694" s="4">
        <f>INDEX(Product!$A$1:$G$49,MATCH(orders!$D694,Product!$A$1:$A$49,0),MATCH(orders!K$1,Product!$A$1:$G$1,0))</f>
        <v>1</v>
      </c>
      <c r="L694" s="5">
        <f>INDEX(Product!$A$1:$G$49,MATCH(orders!$D694,Product!$A$1:$A$49,0),MATCH(orders!L$1,Product!$A$1:$G$1,0))</f>
        <v>12.95</v>
      </c>
      <c r="M694" s="5">
        <f t="shared" si="10"/>
        <v>12.95</v>
      </c>
      <c r="N694" t="str" cm="1">
        <f t="array" ref="N694">_xlfn.IFS(I694="Rob", "Robusta", I694="Exc", "Excelsa", I694="Ara", "Arabica", I694="Lib", "Liberica", TRUE, "")</f>
        <v>Liberica</v>
      </c>
      <c r="O694" t="str" cm="1">
        <f t="array" ref="O694">_xlfn.IFS(J694="M", "Medium", J694="L", "Light", J694="D", "Dark", TRUE, "")</f>
        <v>Dark</v>
      </c>
      <c r="P694" t="str">
        <f>_xlfn.XLOOKUP(Table1[[#This Row],[Customer ID]], customers!$A$1:$A$1001, customers!$I$1:$I$1001,, 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INDEX(Product!$A$1:$G$49,MATCH(orders!$D695,Product!$A$1:$A$49,0),MATCH(orders!I$1,Product!$A$1:$G$1,0))</f>
        <v>Ara</v>
      </c>
      <c r="J695" t="str">
        <f>INDEX(Product!$A$1:$G$49,MATCH(orders!$D695,Product!$A$1:$A$49,0),MATCH(orders!J$1,Product!$A$1:$G$1,0))</f>
        <v>M</v>
      </c>
      <c r="K695" s="4">
        <f>INDEX(Product!$A$1:$G$49,MATCH(orders!$D695,Product!$A$1:$A$49,0),MATCH(orders!K$1,Product!$A$1:$G$1,0))</f>
        <v>2.5</v>
      </c>
      <c r="L695" s="5">
        <f>INDEX(Product!$A$1:$G$49,MATCH(orders!$D695,Product!$A$1:$A$49,0),MATCH(orders!L$1,Product!$A$1:$G$1,0))</f>
        <v>25.874999999999996</v>
      </c>
      <c r="M695" s="5">
        <f t="shared" si="10"/>
        <v>51.749999999999993</v>
      </c>
      <c r="N695" t="str" cm="1">
        <f t="array" ref="N695">_xlfn.IFS(I695="Rob", "Robusta", I695="Exc", "Excelsa", I695="Ara", "Arabica", I695="Lib", "Liberica", TRUE, "")</f>
        <v>Arabica</v>
      </c>
      <c r="O695" t="str" cm="1">
        <f t="array" ref="O695">_xlfn.IFS(J695="M", "Medium", J695="L", "Light", J695="D", "Dark", TRUE, "")</f>
        <v>Medium</v>
      </c>
      <c r="P695" t="str">
        <f>_xlfn.XLOOKUP(Table1[[#This Row],[Customer ID]], customers!$A$1:$A$1001, customers!$I$1:$I$1001,, 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INDEX(Product!$A$1:$G$49,MATCH(orders!$D696,Product!$A$1:$A$49,0),MATCH(orders!I$1,Product!$A$1:$G$1,0))</f>
        <v>Exc</v>
      </c>
      <c r="J696" t="str">
        <f>INDEX(Product!$A$1:$G$49,MATCH(orders!$D696,Product!$A$1:$A$49,0),MATCH(orders!J$1,Product!$A$1:$G$1,0))</f>
        <v>D</v>
      </c>
      <c r="K696" s="4">
        <f>INDEX(Product!$A$1:$G$49,MATCH(orders!$D696,Product!$A$1:$A$49,0),MATCH(orders!K$1,Product!$A$1:$G$1,0))</f>
        <v>0.5</v>
      </c>
      <c r="L696" s="5">
        <f>INDEX(Product!$A$1:$G$49,MATCH(orders!$D696,Product!$A$1:$A$49,0),MATCH(orders!L$1,Product!$A$1:$G$1,0))</f>
        <v>7.29</v>
      </c>
      <c r="M696" s="5">
        <f t="shared" si="10"/>
        <v>36.450000000000003</v>
      </c>
      <c r="N696" t="str" cm="1">
        <f t="array" ref="N696">_xlfn.IFS(I696="Rob", "Robusta", I696="Exc", "Excelsa", I696="Ara", "Arabica", I696="Lib", "Liberica", TRUE, "")</f>
        <v>Excelsa</v>
      </c>
      <c r="O696" t="str" cm="1">
        <f t="array" ref="O696">_xlfn.IFS(J696="M", "Medium", J696="L", "Light", J696="D", "Dark", TRUE, "")</f>
        <v>Dark</v>
      </c>
      <c r="P696" t="str">
        <f>_xlfn.XLOOKUP(Table1[[#This Row],[Customer ID]], customers!$A$1:$A$1001, customers!$I$1:$I$1001,, 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INDEX(Product!$A$1:$G$49,MATCH(orders!$D697,Product!$A$1:$A$49,0),MATCH(orders!I$1,Product!$A$1:$G$1,0))</f>
        <v>Lib</v>
      </c>
      <c r="J697" t="str">
        <f>INDEX(Product!$A$1:$G$49,MATCH(orders!$D697,Product!$A$1:$A$49,0),MATCH(orders!J$1,Product!$A$1:$G$1,0))</f>
        <v>L</v>
      </c>
      <c r="K697" s="4">
        <f>INDEX(Product!$A$1:$G$49,MATCH(orders!$D697,Product!$A$1:$A$49,0),MATCH(orders!K$1,Product!$A$1:$G$1,0))</f>
        <v>2.5</v>
      </c>
      <c r="L697" s="5">
        <f>INDEX(Product!$A$1:$G$49,MATCH(orders!$D697,Product!$A$1:$A$49,0),MATCH(orders!L$1,Product!$A$1:$G$1,0))</f>
        <v>36.454999999999998</v>
      </c>
      <c r="M697" s="5">
        <f t="shared" si="10"/>
        <v>182.27499999999998</v>
      </c>
      <c r="N697" t="str" cm="1">
        <f t="array" ref="N697">_xlfn.IFS(I697="Rob", "Robusta", I697="Exc", "Excelsa", I697="Ara", "Arabica", I697="Lib", "Liberica", TRUE, "")</f>
        <v>Liberica</v>
      </c>
      <c r="O697" t="str" cm="1">
        <f t="array" ref="O697">_xlfn.IFS(J697="M", "Medium", J697="L", "Light", J697="D", "Dark", TRUE, "")</f>
        <v>Light</v>
      </c>
      <c r="P697" t="str">
        <f>_xlfn.XLOOKUP(Table1[[#This Row],[Customer ID]], customers!$A$1:$A$1001, customers!$I$1:$I$1001,, 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INDEX(Product!$A$1:$G$49,MATCH(orders!$D698,Product!$A$1:$A$49,0),MATCH(orders!I$1,Product!$A$1:$G$1,0))</f>
        <v>Lib</v>
      </c>
      <c r="J698" t="str">
        <f>INDEX(Product!$A$1:$G$49,MATCH(orders!$D698,Product!$A$1:$A$49,0),MATCH(orders!J$1,Product!$A$1:$G$1,0))</f>
        <v>D</v>
      </c>
      <c r="K698" s="4">
        <f>INDEX(Product!$A$1:$G$49,MATCH(orders!$D698,Product!$A$1:$A$49,0),MATCH(orders!K$1,Product!$A$1:$G$1,0))</f>
        <v>0.5</v>
      </c>
      <c r="L698" s="5">
        <f>INDEX(Product!$A$1:$G$49,MATCH(orders!$D698,Product!$A$1:$A$49,0),MATCH(orders!L$1,Product!$A$1:$G$1,0))</f>
        <v>7.77</v>
      </c>
      <c r="M698" s="5">
        <f t="shared" si="10"/>
        <v>31.08</v>
      </c>
      <c r="N698" t="str" cm="1">
        <f t="array" ref="N698">_xlfn.IFS(I698="Rob", "Robusta", I698="Exc", "Excelsa", I698="Ara", "Arabica", I698="Lib", "Liberica", TRUE, "")</f>
        <v>Liberica</v>
      </c>
      <c r="O698" t="str" cm="1">
        <f t="array" ref="O698">_xlfn.IFS(J698="M", "Medium", J698="L", "Light", J698="D", "Dark", TRUE, "")</f>
        <v>Dark</v>
      </c>
      <c r="P698" t="str">
        <f>_xlfn.XLOOKUP(Table1[[#This Row],[Customer ID]], customers!$A$1:$A$1001, customers!$I$1:$I$1001,, 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INDEX(Product!$A$1:$G$49,MATCH(orders!$D699,Product!$A$1:$A$49,0),MATCH(orders!I$1,Product!$A$1:$G$1,0))</f>
        <v>Ara</v>
      </c>
      <c r="J699" t="str">
        <f>INDEX(Product!$A$1:$G$49,MATCH(orders!$D699,Product!$A$1:$A$49,0),MATCH(orders!J$1,Product!$A$1:$G$1,0))</f>
        <v>M</v>
      </c>
      <c r="K699" s="4">
        <f>INDEX(Product!$A$1:$G$49,MATCH(orders!$D699,Product!$A$1:$A$49,0),MATCH(orders!K$1,Product!$A$1:$G$1,0))</f>
        <v>0.5</v>
      </c>
      <c r="L699" s="5">
        <f>INDEX(Product!$A$1:$G$49,MATCH(orders!$D699,Product!$A$1:$A$49,0),MATCH(orders!L$1,Product!$A$1:$G$1,0))</f>
        <v>6.75</v>
      </c>
      <c r="M699" s="5">
        <f t="shared" si="10"/>
        <v>20.25</v>
      </c>
      <c r="N699" t="str" cm="1">
        <f t="array" ref="N699">_xlfn.IFS(I699="Rob", "Robusta", I699="Exc", "Excelsa", I699="Ara", "Arabica", I699="Lib", "Liberica", TRUE, "")</f>
        <v>Arabica</v>
      </c>
      <c r="O699" t="str" cm="1">
        <f t="array" ref="O699">_xlfn.IFS(J699="M", "Medium", J699="L", "Light", J699="D", "Dark", TRUE, "")</f>
        <v>Medium</v>
      </c>
      <c r="P699" t="str">
        <f>_xlfn.XLOOKUP(Table1[[#This Row],[Customer ID]], customers!$A$1:$A$1001, customers!$I$1:$I$1001,, 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INDEX(Product!$A$1:$G$49,MATCH(orders!$D700,Product!$A$1:$A$49,0),MATCH(orders!I$1,Product!$A$1:$G$1,0))</f>
        <v>Lib</v>
      </c>
      <c r="J700" t="str">
        <f>INDEX(Product!$A$1:$G$49,MATCH(orders!$D700,Product!$A$1:$A$49,0),MATCH(orders!J$1,Product!$A$1:$G$1,0))</f>
        <v>D</v>
      </c>
      <c r="K700" s="4">
        <f>INDEX(Product!$A$1:$G$49,MATCH(orders!$D700,Product!$A$1:$A$49,0),MATCH(orders!K$1,Product!$A$1:$G$1,0))</f>
        <v>1</v>
      </c>
      <c r="L700" s="5">
        <f>INDEX(Product!$A$1:$G$49,MATCH(orders!$D700,Product!$A$1:$A$49,0),MATCH(orders!L$1,Product!$A$1:$G$1,0))</f>
        <v>12.95</v>
      </c>
      <c r="M700" s="5">
        <f t="shared" si="10"/>
        <v>25.9</v>
      </c>
      <c r="N700" t="str" cm="1">
        <f t="array" ref="N700">_xlfn.IFS(I700="Rob", "Robusta", I700="Exc", "Excelsa", I700="Ara", "Arabica", I700="Lib", "Liberica", TRUE, "")</f>
        <v>Liberica</v>
      </c>
      <c r="O700" t="str" cm="1">
        <f t="array" ref="O700">_xlfn.IFS(J700="M", "Medium", J700="L", "Light", J700="D", "Dark", TRUE, "")</f>
        <v>Dark</v>
      </c>
      <c r="P700" t="str">
        <f>_xlfn.XLOOKUP(Table1[[#This Row],[Customer ID]], customers!$A$1:$A$1001, customers!$I$1:$I$1001,, 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INDEX(Product!$A$1:$G$49,MATCH(orders!$D701,Product!$A$1:$A$49,0),MATCH(orders!I$1,Product!$A$1:$G$1,0))</f>
        <v>Ara</v>
      </c>
      <c r="J701" t="str">
        <f>INDEX(Product!$A$1:$G$49,MATCH(orders!$D701,Product!$A$1:$A$49,0),MATCH(orders!J$1,Product!$A$1:$G$1,0))</f>
        <v>D</v>
      </c>
      <c r="K701" s="4">
        <f>INDEX(Product!$A$1:$G$49,MATCH(orders!$D701,Product!$A$1:$A$49,0),MATCH(orders!K$1,Product!$A$1:$G$1,0))</f>
        <v>0.5</v>
      </c>
      <c r="L701" s="5">
        <f>INDEX(Product!$A$1:$G$49,MATCH(orders!$D701,Product!$A$1:$A$49,0),MATCH(orders!L$1,Product!$A$1:$G$1,0))</f>
        <v>5.97</v>
      </c>
      <c r="M701" s="5">
        <f t="shared" si="10"/>
        <v>23.88</v>
      </c>
      <c r="N701" t="str" cm="1">
        <f t="array" ref="N701">_xlfn.IFS(I701="Rob", "Robusta", I701="Exc", "Excelsa", I701="Ara", "Arabica", I701="Lib", "Liberica", TRUE, "")</f>
        <v>Arabica</v>
      </c>
      <c r="O701" t="str" cm="1">
        <f t="array" ref="O701">_xlfn.IFS(J701="M", "Medium", J701="L", "Light", J701="D", "Dark", TRUE, "")</f>
        <v>Dark</v>
      </c>
      <c r="P701" t="str">
        <f>_xlfn.XLOOKUP(Table1[[#This Row],[Customer ID]], customers!$A$1:$A$1001, customers!$I$1:$I$1001,, 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INDEX(Product!$A$1:$G$49,MATCH(orders!$D702,Product!$A$1:$A$49,0),MATCH(orders!I$1,Product!$A$1:$G$1,0))</f>
        <v>Lib</v>
      </c>
      <c r="J702" t="str">
        <f>INDEX(Product!$A$1:$G$49,MATCH(orders!$D702,Product!$A$1:$A$49,0),MATCH(orders!J$1,Product!$A$1:$G$1,0))</f>
        <v>L</v>
      </c>
      <c r="K702" s="4">
        <f>INDEX(Product!$A$1:$G$49,MATCH(orders!$D702,Product!$A$1:$A$49,0),MATCH(orders!K$1,Product!$A$1:$G$1,0))</f>
        <v>0.5</v>
      </c>
      <c r="L702" s="5">
        <f>INDEX(Product!$A$1:$G$49,MATCH(orders!$D702,Product!$A$1:$A$49,0),MATCH(orders!L$1,Product!$A$1:$G$1,0))</f>
        <v>9.51</v>
      </c>
      <c r="M702" s="5">
        <f t="shared" si="10"/>
        <v>19.02</v>
      </c>
      <c r="N702" t="str" cm="1">
        <f t="array" ref="N702">_xlfn.IFS(I702="Rob", "Robusta", I702="Exc", "Excelsa", I702="Ara", "Arabica", I702="Lib", "Liberica", TRUE, "")</f>
        <v>Liberica</v>
      </c>
      <c r="O702" t="str" cm="1">
        <f t="array" ref="O702">_xlfn.IFS(J702="M", "Medium", J702="L", "Light", J702="D", "Dark", TRUE, "")</f>
        <v>Light</v>
      </c>
      <c r="P702" t="str">
        <f>_xlfn.XLOOKUP(Table1[[#This Row],[Customer ID]], customers!$A$1:$A$1001, customers!$I$1:$I$1001,, 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INDEX(Product!$A$1:$G$49,MATCH(orders!$D703,Product!$A$1:$A$49,0),MATCH(orders!I$1,Product!$A$1:$G$1,0))</f>
        <v>Ara</v>
      </c>
      <c r="J703" t="str">
        <f>INDEX(Product!$A$1:$G$49,MATCH(orders!$D703,Product!$A$1:$A$49,0),MATCH(orders!J$1,Product!$A$1:$G$1,0))</f>
        <v>D</v>
      </c>
      <c r="K703" s="4">
        <f>INDEX(Product!$A$1:$G$49,MATCH(orders!$D703,Product!$A$1:$A$49,0),MATCH(orders!K$1,Product!$A$1:$G$1,0))</f>
        <v>0.5</v>
      </c>
      <c r="L703" s="5">
        <f>INDEX(Product!$A$1:$G$49,MATCH(orders!$D703,Product!$A$1:$A$49,0),MATCH(orders!L$1,Product!$A$1:$G$1,0))</f>
        <v>5.97</v>
      </c>
      <c r="M703" s="5">
        <f t="shared" si="10"/>
        <v>29.849999999999998</v>
      </c>
      <c r="N703" t="str" cm="1">
        <f t="array" ref="N703">_xlfn.IFS(I703="Rob", "Robusta", I703="Exc", "Excelsa", I703="Ara", "Arabica", I703="Lib", "Liberica", TRUE, "")</f>
        <v>Arabica</v>
      </c>
      <c r="O703" t="str" cm="1">
        <f t="array" ref="O703">_xlfn.IFS(J703="M", "Medium", J703="L", "Light", J703="D", "Dark", TRUE, "")</f>
        <v>Dark</v>
      </c>
      <c r="P703" t="str">
        <f>_xlfn.XLOOKUP(Table1[[#This Row],[Customer ID]], customers!$A$1:$A$1001, customers!$I$1:$I$1001,, 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INDEX(Product!$A$1:$G$49,MATCH(orders!$D704,Product!$A$1:$A$49,0),MATCH(orders!I$1,Product!$A$1:$G$1,0))</f>
        <v>Ara</v>
      </c>
      <c r="J704" t="str">
        <f>INDEX(Product!$A$1:$G$49,MATCH(orders!$D704,Product!$A$1:$A$49,0),MATCH(orders!J$1,Product!$A$1:$G$1,0))</f>
        <v>L</v>
      </c>
      <c r="K704" s="4">
        <f>INDEX(Product!$A$1:$G$49,MATCH(orders!$D704,Product!$A$1:$A$49,0),MATCH(orders!K$1,Product!$A$1:$G$1,0))</f>
        <v>0.5</v>
      </c>
      <c r="L704" s="5">
        <f>INDEX(Product!$A$1:$G$49,MATCH(orders!$D704,Product!$A$1:$A$49,0),MATCH(orders!L$1,Product!$A$1:$G$1,0))</f>
        <v>7.77</v>
      </c>
      <c r="M704" s="5">
        <f t="shared" si="10"/>
        <v>7.77</v>
      </c>
      <c r="N704" t="str" cm="1">
        <f t="array" ref="N704">_xlfn.IFS(I704="Rob", "Robusta", I704="Exc", "Excelsa", I704="Ara", "Arabica", I704="Lib", "Liberica", TRUE, "")</f>
        <v>Arabica</v>
      </c>
      <c r="O704" t="str" cm="1">
        <f t="array" ref="O704">_xlfn.IFS(J704="M", "Medium", J704="L", "Light", J704="D", "Dark", TRUE, "")</f>
        <v>Light</v>
      </c>
      <c r="P704" t="str">
        <f>_xlfn.XLOOKUP(Table1[[#This Row],[Customer ID]], customers!$A$1:$A$1001, customers!$I$1:$I$1001,, 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INDEX(Product!$A$1:$G$49,MATCH(orders!$D705,Product!$A$1:$A$49,0),MATCH(orders!I$1,Product!$A$1:$G$1,0))</f>
        <v>Lib</v>
      </c>
      <c r="J705" t="str">
        <f>INDEX(Product!$A$1:$G$49,MATCH(orders!$D705,Product!$A$1:$A$49,0),MATCH(orders!J$1,Product!$A$1:$G$1,0))</f>
        <v>D</v>
      </c>
      <c r="K705" s="4">
        <f>INDEX(Product!$A$1:$G$49,MATCH(orders!$D705,Product!$A$1:$A$49,0),MATCH(orders!K$1,Product!$A$1:$G$1,0))</f>
        <v>2.5</v>
      </c>
      <c r="L705" s="5">
        <f>INDEX(Product!$A$1:$G$49,MATCH(orders!$D705,Product!$A$1:$A$49,0),MATCH(orders!L$1,Product!$A$1:$G$1,0))</f>
        <v>29.784999999999997</v>
      </c>
      <c r="M705" s="5">
        <f t="shared" si="10"/>
        <v>119.13999999999999</v>
      </c>
      <c r="N705" t="str" cm="1">
        <f t="array" ref="N705">_xlfn.IFS(I705="Rob", "Robusta", I705="Exc", "Excelsa", I705="Ara", "Arabica", I705="Lib", "Liberica", TRUE, "")</f>
        <v>Liberica</v>
      </c>
      <c r="O705" t="str" cm="1">
        <f t="array" ref="O705">_xlfn.IFS(J705="M", "Medium", J705="L", "Light", J705="D", "Dark", TRUE, "")</f>
        <v>Dark</v>
      </c>
      <c r="P705" t="str">
        <f>_xlfn.XLOOKUP(Table1[[#This Row],[Customer ID]], customers!$A$1:$A$1001, customers!$I$1:$I$1001,, 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INDEX(Product!$A$1:$G$49,MATCH(orders!$D706,Product!$A$1:$A$49,0),MATCH(orders!I$1,Product!$A$1:$G$1,0))</f>
        <v>Exc</v>
      </c>
      <c r="J706" t="str">
        <f>INDEX(Product!$A$1:$G$49,MATCH(orders!$D706,Product!$A$1:$A$49,0),MATCH(orders!J$1,Product!$A$1:$G$1,0))</f>
        <v>D</v>
      </c>
      <c r="K706" s="4">
        <f>INDEX(Product!$A$1:$G$49,MATCH(orders!$D706,Product!$A$1:$A$49,0),MATCH(orders!K$1,Product!$A$1:$G$1,0))</f>
        <v>0.2</v>
      </c>
      <c r="L706" s="5">
        <f>INDEX(Product!$A$1:$G$49,MATCH(orders!$D706,Product!$A$1:$A$49,0),MATCH(orders!L$1,Product!$A$1:$G$1,0))</f>
        <v>3.645</v>
      </c>
      <c r="M706" s="5">
        <f t="shared" ref="M706:M769" si="11">L706*E706</f>
        <v>21.87</v>
      </c>
      <c r="N706" t="str" cm="1">
        <f t="array" ref="N706">_xlfn.IFS(I706="Rob", "Robusta", I706="Exc", "Excelsa", I706="Ara", "Arabica", I706="Lib", "Liberica", TRUE, "")</f>
        <v>Excelsa</v>
      </c>
      <c r="O706" t="str" cm="1">
        <f t="array" ref="O706">_xlfn.IFS(J706="M", "Medium", J706="L", "Light", J706="D", "Dark", TRUE, "")</f>
        <v>Dark</v>
      </c>
      <c r="P706" t="str">
        <f>_xlfn.XLOOKUP(Table1[[#This Row],[Customer ID]], customers!$A$1:$A$1001, customers!$I$1:$I$1001,, 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INDEX(Product!$A$1:$G$49,MATCH(orders!$D707,Product!$A$1:$A$49,0),MATCH(orders!I$1,Product!$A$1:$G$1,0))</f>
        <v>Exc</v>
      </c>
      <c r="J707" t="str">
        <f>INDEX(Product!$A$1:$G$49,MATCH(orders!$D707,Product!$A$1:$A$49,0),MATCH(orders!J$1,Product!$A$1:$G$1,0))</f>
        <v>L</v>
      </c>
      <c r="K707" s="4">
        <f>INDEX(Product!$A$1:$G$49,MATCH(orders!$D707,Product!$A$1:$A$49,0),MATCH(orders!K$1,Product!$A$1:$G$1,0))</f>
        <v>0.5</v>
      </c>
      <c r="L707" s="5">
        <f>INDEX(Product!$A$1:$G$49,MATCH(orders!$D707,Product!$A$1:$A$49,0),MATCH(orders!L$1,Product!$A$1:$G$1,0))</f>
        <v>8.91</v>
      </c>
      <c r="M707" s="5">
        <f t="shared" si="11"/>
        <v>17.82</v>
      </c>
      <c r="N707" t="str" cm="1">
        <f t="array" ref="N707">_xlfn.IFS(I707="Rob", "Robusta", I707="Exc", "Excelsa", I707="Ara", "Arabica", I707="Lib", "Liberica", TRUE, "")</f>
        <v>Excelsa</v>
      </c>
      <c r="O707" t="str" cm="1">
        <f t="array" ref="O707">_xlfn.IFS(J707="M", "Medium", J707="L", "Light", J707="D", "Dark", TRUE, "")</f>
        <v>Light</v>
      </c>
      <c r="P707" t="str">
        <f>_xlfn.XLOOKUP(Table1[[#This Row],[Customer ID]], customers!$A$1:$A$1001, customers!$I$1:$I$1001,, 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INDEX(Product!$A$1:$G$49,MATCH(orders!$D708,Product!$A$1:$A$49,0),MATCH(orders!I$1,Product!$A$1:$G$1,0))</f>
        <v>Exc</v>
      </c>
      <c r="J708" t="str">
        <f>INDEX(Product!$A$1:$G$49,MATCH(orders!$D708,Product!$A$1:$A$49,0),MATCH(orders!J$1,Product!$A$1:$G$1,0))</f>
        <v>M</v>
      </c>
      <c r="K708" s="4">
        <f>INDEX(Product!$A$1:$G$49,MATCH(orders!$D708,Product!$A$1:$A$49,0),MATCH(orders!K$1,Product!$A$1:$G$1,0))</f>
        <v>0.2</v>
      </c>
      <c r="L708" s="5">
        <f>INDEX(Product!$A$1:$G$49,MATCH(orders!$D708,Product!$A$1:$A$49,0),MATCH(orders!L$1,Product!$A$1:$G$1,0))</f>
        <v>4.125</v>
      </c>
      <c r="M708" s="5">
        <f t="shared" si="11"/>
        <v>12.375</v>
      </c>
      <c r="N708" t="str" cm="1">
        <f t="array" ref="N708">_xlfn.IFS(I708="Rob", "Robusta", I708="Exc", "Excelsa", I708="Ara", "Arabica", I708="Lib", "Liberica", TRUE, "")</f>
        <v>Excelsa</v>
      </c>
      <c r="O708" t="str" cm="1">
        <f t="array" ref="O708">_xlfn.IFS(J708="M", "Medium", J708="L", "Light", J708="D", "Dark", TRUE, "")</f>
        <v>Medium</v>
      </c>
      <c r="P708" t="str">
        <f>_xlfn.XLOOKUP(Table1[[#This Row],[Customer ID]], customers!$A$1:$A$1001, customers!$I$1:$I$1001,, 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INDEX(Product!$A$1:$G$49,MATCH(orders!$D709,Product!$A$1:$A$49,0),MATCH(orders!I$1,Product!$A$1:$G$1,0))</f>
        <v>Lib</v>
      </c>
      <c r="J709" t="str">
        <f>INDEX(Product!$A$1:$G$49,MATCH(orders!$D709,Product!$A$1:$A$49,0),MATCH(orders!J$1,Product!$A$1:$G$1,0))</f>
        <v>D</v>
      </c>
      <c r="K709" s="4">
        <f>INDEX(Product!$A$1:$G$49,MATCH(orders!$D709,Product!$A$1:$A$49,0),MATCH(orders!K$1,Product!$A$1:$G$1,0))</f>
        <v>1</v>
      </c>
      <c r="L709" s="5">
        <f>INDEX(Product!$A$1:$G$49,MATCH(orders!$D709,Product!$A$1:$A$49,0),MATCH(orders!L$1,Product!$A$1:$G$1,0))</f>
        <v>12.95</v>
      </c>
      <c r="M709" s="5">
        <f t="shared" si="11"/>
        <v>25.9</v>
      </c>
      <c r="N709" t="str" cm="1">
        <f t="array" ref="N709">_xlfn.IFS(I709="Rob", "Robusta", I709="Exc", "Excelsa", I709="Ara", "Arabica", I709="Lib", "Liberica", TRUE, "")</f>
        <v>Liberica</v>
      </c>
      <c r="O709" t="str" cm="1">
        <f t="array" ref="O709">_xlfn.IFS(J709="M", "Medium", J709="L", "Light", J709="D", "Dark", TRUE, "")</f>
        <v>Dark</v>
      </c>
      <c r="P709" t="str">
        <f>_xlfn.XLOOKUP(Table1[[#This Row],[Customer ID]], customers!$A$1:$A$1001, customers!$I$1:$I$1001,, 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INDEX(Product!$A$1:$G$49,MATCH(orders!$D710,Product!$A$1:$A$49,0),MATCH(orders!I$1,Product!$A$1:$G$1,0))</f>
        <v>Ara</v>
      </c>
      <c r="J710" t="str">
        <f>INDEX(Product!$A$1:$G$49,MATCH(orders!$D710,Product!$A$1:$A$49,0),MATCH(orders!J$1,Product!$A$1:$G$1,0))</f>
        <v>M</v>
      </c>
      <c r="K710" s="4">
        <f>INDEX(Product!$A$1:$G$49,MATCH(orders!$D710,Product!$A$1:$A$49,0),MATCH(orders!K$1,Product!$A$1:$G$1,0))</f>
        <v>0.5</v>
      </c>
      <c r="L710" s="5">
        <f>INDEX(Product!$A$1:$G$49,MATCH(orders!$D710,Product!$A$1:$A$49,0),MATCH(orders!L$1,Product!$A$1:$G$1,0))</f>
        <v>6.75</v>
      </c>
      <c r="M710" s="5">
        <f t="shared" si="11"/>
        <v>13.5</v>
      </c>
      <c r="N710" t="str" cm="1">
        <f t="array" ref="N710">_xlfn.IFS(I710="Rob", "Robusta", I710="Exc", "Excelsa", I710="Ara", "Arabica", I710="Lib", "Liberica", TRUE, "")</f>
        <v>Arabica</v>
      </c>
      <c r="O710" t="str" cm="1">
        <f t="array" ref="O710">_xlfn.IFS(J710="M", "Medium", J710="L", "Light", J710="D", "Dark", TRUE, "")</f>
        <v>Medium</v>
      </c>
      <c r="P710" t="str">
        <f>_xlfn.XLOOKUP(Table1[[#This Row],[Customer ID]], customers!$A$1:$A$1001, customers!$I$1:$I$1001,, 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INDEX(Product!$A$1:$G$49,MATCH(orders!$D711,Product!$A$1:$A$49,0),MATCH(orders!I$1,Product!$A$1:$G$1,0))</f>
        <v>Exc</v>
      </c>
      <c r="J711" t="str">
        <f>INDEX(Product!$A$1:$G$49,MATCH(orders!$D711,Product!$A$1:$A$49,0),MATCH(orders!J$1,Product!$A$1:$G$1,0))</f>
        <v>L</v>
      </c>
      <c r="K711" s="4">
        <f>INDEX(Product!$A$1:$G$49,MATCH(orders!$D711,Product!$A$1:$A$49,0),MATCH(orders!K$1,Product!$A$1:$G$1,0))</f>
        <v>0.5</v>
      </c>
      <c r="L711" s="5">
        <f>INDEX(Product!$A$1:$G$49,MATCH(orders!$D711,Product!$A$1:$A$49,0),MATCH(orders!L$1,Product!$A$1:$G$1,0))</f>
        <v>8.91</v>
      </c>
      <c r="M711" s="5">
        <f t="shared" si="11"/>
        <v>17.82</v>
      </c>
      <c r="N711" t="str" cm="1">
        <f t="array" ref="N711">_xlfn.IFS(I711="Rob", "Robusta", I711="Exc", "Excelsa", I711="Ara", "Arabica", I711="Lib", "Liberica", TRUE, "")</f>
        <v>Excelsa</v>
      </c>
      <c r="O711" t="str" cm="1">
        <f t="array" ref="O711">_xlfn.IFS(J711="M", "Medium", J711="L", "Light", J711="D", "Dark", TRUE, "")</f>
        <v>Light</v>
      </c>
      <c r="P711" t="str">
        <f>_xlfn.XLOOKUP(Table1[[#This Row],[Customer ID]], customers!$A$1:$A$1001, customers!$I$1:$I$1001,, 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INDEX(Product!$A$1:$G$49,MATCH(orders!$D712,Product!$A$1:$A$49,0),MATCH(orders!I$1,Product!$A$1:$G$1,0))</f>
        <v>Exc</v>
      </c>
      <c r="J712" t="str">
        <f>INDEX(Product!$A$1:$G$49,MATCH(orders!$D712,Product!$A$1:$A$49,0),MATCH(orders!J$1,Product!$A$1:$G$1,0))</f>
        <v>M</v>
      </c>
      <c r="K712" s="4">
        <f>INDEX(Product!$A$1:$G$49,MATCH(orders!$D712,Product!$A$1:$A$49,0),MATCH(orders!K$1,Product!$A$1:$G$1,0))</f>
        <v>0.5</v>
      </c>
      <c r="L712" s="5">
        <f>INDEX(Product!$A$1:$G$49,MATCH(orders!$D712,Product!$A$1:$A$49,0),MATCH(orders!L$1,Product!$A$1:$G$1,0))</f>
        <v>8.25</v>
      </c>
      <c r="M712" s="5">
        <f t="shared" si="11"/>
        <v>24.75</v>
      </c>
      <c r="N712" t="str" cm="1">
        <f t="array" ref="N712">_xlfn.IFS(I712="Rob", "Robusta", I712="Exc", "Excelsa", I712="Ara", "Arabica", I712="Lib", "Liberica", TRUE, "")</f>
        <v>Excelsa</v>
      </c>
      <c r="O712" t="str" cm="1">
        <f t="array" ref="O712">_xlfn.IFS(J712="M", "Medium", J712="L", "Light", J712="D", "Dark", TRUE, "")</f>
        <v>Medium</v>
      </c>
      <c r="P712" t="str">
        <f>_xlfn.XLOOKUP(Table1[[#This Row],[Customer ID]], customers!$A$1:$A$1001, customers!$I$1:$I$1001,, 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INDEX(Product!$A$1:$G$49,MATCH(orders!$D713,Product!$A$1:$A$49,0),MATCH(orders!I$1,Product!$A$1:$G$1,0))</f>
        <v>Rob</v>
      </c>
      <c r="J713" t="str">
        <f>INDEX(Product!$A$1:$G$49,MATCH(orders!$D713,Product!$A$1:$A$49,0),MATCH(orders!J$1,Product!$A$1:$G$1,0))</f>
        <v>M</v>
      </c>
      <c r="K713" s="4">
        <f>INDEX(Product!$A$1:$G$49,MATCH(orders!$D713,Product!$A$1:$A$49,0),MATCH(orders!K$1,Product!$A$1:$G$1,0))</f>
        <v>0.2</v>
      </c>
      <c r="L713" s="5">
        <f>INDEX(Product!$A$1:$G$49,MATCH(orders!$D713,Product!$A$1:$A$49,0),MATCH(orders!L$1,Product!$A$1:$G$1,0))</f>
        <v>2.9849999999999999</v>
      </c>
      <c r="M713" s="5">
        <f t="shared" si="11"/>
        <v>17.91</v>
      </c>
      <c r="N713" t="str" cm="1">
        <f t="array" ref="N713">_xlfn.IFS(I713="Rob", "Robusta", I713="Exc", "Excelsa", I713="Ara", "Arabica", I713="Lib", "Liberica", TRUE, "")</f>
        <v>Robusta</v>
      </c>
      <c r="O713" t="str" cm="1">
        <f t="array" ref="O713">_xlfn.IFS(J713="M", "Medium", J713="L", "Light", J713="D", "Dark", TRUE, "")</f>
        <v>Medium</v>
      </c>
      <c r="P713" t="str">
        <f>_xlfn.XLOOKUP(Table1[[#This Row],[Customer ID]], customers!$A$1:$A$1001, customers!$I$1:$I$1001,, 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INDEX(Product!$A$1:$G$49,MATCH(orders!$D714,Product!$A$1:$A$49,0),MATCH(orders!I$1,Product!$A$1:$G$1,0))</f>
        <v>Exc</v>
      </c>
      <c r="J714" t="str">
        <f>INDEX(Product!$A$1:$G$49,MATCH(orders!$D714,Product!$A$1:$A$49,0),MATCH(orders!J$1,Product!$A$1:$G$1,0))</f>
        <v>M</v>
      </c>
      <c r="K714" s="4">
        <f>INDEX(Product!$A$1:$G$49,MATCH(orders!$D714,Product!$A$1:$A$49,0),MATCH(orders!K$1,Product!$A$1:$G$1,0))</f>
        <v>0.5</v>
      </c>
      <c r="L714" s="5">
        <f>INDEX(Product!$A$1:$G$49,MATCH(orders!$D714,Product!$A$1:$A$49,0),MATCH(orders!L$1,Product!$A$1:$G$1,0))</f>
        <v>8.25</v>
      </c>
      <c r="M714" s="5">
        <f t="shared" si="11"/>
        <v>16.5</v>
      </c>
      <c r="N714" t="str" cm="1">
        <f t="array" ref="N714">_xlfn.IFS(I714="Rob", "Robusta", I714="Exc", "Excelsa", I714="Ara", "Arabica", I714="Lib", "Liberica", TRUE, "")</f>
        <v>Excelsa</v>
      </c>
      <c r="O714" t="str" cm="1">
        <f t="array" ref="O714">_xlfn.IFS(J714="M", "Medium", J714="L", "Light", J714="D", "Dark", TRUE, "")</f>
        <v>Medium</v>
      </c>
      <c r="P714" t="str">
        <f>_xlfn.XLOOKUP(Table1[[#This Row],[Customer ID]], customers!$A$1:$A$1001, customers!$I$1:$I$1001,, 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INDEX(Product!$A$1:$G$49,MATCH(orders!$D715,Product!$A$1:$A$49,0),MATCH(orders!I$1,Product!$A$1:$G$1,0))</f>
        <v>Rob</v>
      </c>
      <c r="J715" t="str">
        <f>INDEX(Product!$A$1:$G$49,MATCH(orders!$D715,Product!$A$1:$A$49,0),MATCH(orders!J$1,Product!$A$1:$G$1,0))</f>
        <v>M</v>
      </c>
      <c r="K715" s="4">
        <f>INDEX(Product!$A$1:$G$49,MATCH(orders!$D715,Product!$A$1:$A$49,0),MATCH(orders!K$1,Product!$A$1:$G$1,0))</f>
        <v>0.2</v>
      </c>
      <c r="L715" s="5">
        <f>INDEX(Product!$A$1:$G$49,MATCH(orders!$D715,Product!$A$1:$A$49,0),MATCH(orders!L$1,Product!$A$1:$G$1,0))</f>
        <v>2.9849999999999999</v>
      </c>
      <c r="M715" s="5">
        <f t="shared" si="11"/>
        <v>2.9849999999999999</v>
      </c>
      <c r="N715" t="str" cm="1">
        <f t="array" ref="N715">_xlfn.IFS(I715="Rob", "Robusta", I715="Exc", "Excelsa", I715="Ara", "Arabica", I715="Lib", "Liberica", TRUE, "")</f>
        <v>Robusta</v>
      </c>
      <c r="O715" t="str" cm="1">
        <f t="array" ref="O715">_xlfn.IFS(J715="M", "Medium", J715="L", "Light", J715="D", "Dark", TRUE, "")</f>
        <v>Medium</v>
      </c>
      <c r="P715" t="str">
        <f>_xlfn.XLOOKUP(Table1[[#This Row],[Customer ID]], customers!$A$1:$A$1001, customers!$I$1:$I$1001,, 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INDEX(Product!$A$1:$G$49,MATCH(orders!$D716,Product!$A$1:$A$49,0),MATCH(orders!I$1,Product!$A$1:$G$1,0))</f>
        <v>Exc</v>
      </c>
      <c r="J716" t="str">
        <f>INDEX(Product!$A$1:$G$49,MATCH(orders!$D716,Product!$A$1:$A$49,0),MATCH(orders!J$1,Product!$A$1:$G$1,0))</f>
        <v>D</v>
      </c>
      <c r="K716" s="4">
        <f>INDEX(Product!$A$1:$G$49,MATCH(orders!$D716,Product!$A$1:$A$49,0),MATCH(orders!K$1,Product!$A$1:$G$1,0))</f>
        <v>0.2</v>
      </c>
      <c r="L716" s="5">
        <f>INDEX(Product!$A$1:$G$49,MATCH(orders!$D716,Product!$A$1:$A$49,0),MATCH(orders!L$1,Product!$A$1:$G$1,0))</f>
        <v>3.645</v>
      </c>
      <c r="M716" s="5">
        <f t="shared" si="11"/>
        <v>14.58</v>
      </c>
      <c r="N716" t="str" cm="1">
        <f t="array" ref="N716">_xlfn.IFS(I716="Rob", "Robusta", I716="Exc", "Excelsa", I716="Ara", "Arabica", I716="Lib", "Liberica", TRUE, "")</f>
        <v>Excelsa</v>
      </c>
      <c r="O716" t="str" cm="1">
        <f t="array" ref="O716">_xlfn.IFS(J716="M", "Medium", J716="L", "Light", J716="D", "Dark", TRUE, "")</f>
        <v>Dark</v>
      </c>
      <c r="P716" t="str">
        <f>_xlfn.XLOOKUP(Table1[[#This Row],[Customer ID]], customers!$A$1:$A$1001, customers!$I$1:$I$1001,, 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INDEX(Product!$A$1:$G$49,MATCH(orders!$D717,Product!$A$1:$A$49,0),MATCH(orders!I$1,Product!$A$1:$G$1,0))</f>
        <v>Exc</v>
      </c>
      <c r="J717" t="str">
        <f>INDEX(Product!$A$1:$G$49,MATCH(orders!$D717,Product!$A$1:$A$49,0),MATCH(orders!J$1,Product!$A$1:$G$1,0))</f>
        <v>L</v>
      </c>
      <c r="K717" s="4">
        <f>INDEX(Product!$A$1:$G$49,MATCH(orders!$D717,Product!$A$1:$A$49,0),MATCH(orders!K$1,Product!$A$1:$G$1,0))</f>
        <v>1</v>
      </c>
      <c r="L717" s="5">
        <f>INDEX(Product!$A$1:$G$49,MATCH(orders!$D717,Product!$A$1:$A$49,0),MATCH(orders!L$1,Product!$A$1:$G$1,0))</f>
        <v>14.85</v>
      </c>
      <c r="M717" s="5">
        <f t="shared" si="11"/>
        <v>89.1</v>
      </c>
      <c r="N717" t="str" cm="1">
        <f t="array" ref="N717">_xlfn.IFS(I717="Rob", "Robusta", I717="Exc", "Excelsa", I717="Ara", "Arabica", I717="Lib", "Liberica", TRUE, "")</f>
        <v>Excelsa</v>
      </c>
      <c r="O717" t="str" cm="1">
        <f t="array" ref="O717">_xlfn.IFS(J717="M", "Medium", J717="L", "Light", J717="D", "Dark", TRUE, "")</f>
        <v>Light</v>
      </c>
      <c r="P717" t="str">
        <f>_xlfn.XLOOKUP(Table1[[#This Row],[Customer ID]], customers!$A$1:$A$1001, customers!$I$1:$I$1001,, 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INDEX(Product!$A$1:$G$49,MATCH(orders!$D718,Product!$A$1:$A$49,0),MATCH(orders!I$1,Product!$A$1:$G$1,0))</f>
        <v>Rob</v>
      </c>
      <c r="J718" t="str">
        <f>INDEX(Product!$A$1:$G$49,MATCH(orders!$D718,Product!$A$1:$A$49,0),MATCH(orders!J$1,Product!$A$1:$G$1,0))</f>
        <v>L</v>
      </c>
      <c r="K718" s="4">
        <f>INDEX(Product!$A$1:$G$49,MATCH(orders!$D718,Product!$A$1:$A$49,0),MATCH(orders!K$1,Product!$A$1:$G$1,0))</f>
        <v>1</v>
      </c>
      <c r="L718" s="5">
        <f>INDEX(Product!$A$1:$G$49,MATCH(orders!$D718,Product!$A$1:$A$49,0),MATCH(orders!L$1,Product!$A$1:$G$1,0))</f>
        <v>11.95</v>
      </c>
      <c r="M718" s="5">
        <f t="shared" si="11"/>
        <v>35.849999999999994</v>
      </c>
      <c r="N718" t="str" cm="1">
        <f t="array" ref="N718">_xlfn.IFS(I718="Rob", "Robusta", I718="Exc", "Excelsa", I718="Ara", "Arabica", I718="Lib", "Liberica", TRUE, "")</f>
        <v>Robusta</v>
      </c>
      <c r="O718" t="str" cm="1">
        <f t="array" ref="O718">_xlfn.IFS(J718="M", "Medium", J718="L", "Light", J718="D", "Dark", TRUE, "")</f>
        <v>Light</v>
      </c>
      <c r="P718" t="str">
        <f>_xlfn.XLOOKUP(Table1[[#This Row],[Customer ID]], customers!$A$1:$A$1001, customers!$I$1:$I$1001,, 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INDEX(Product!$A$1:$G$49,MATCH(orders!$D719,Product!$A$1:$A$49,0),MATCH(orders!I$1,Product!$A$1:$G$1,0))</f>
        <v>Ara</v>
      </c>
      <c r="J719" t="str">
        <f>INDEX(Product!$A$1:$G$49,MATCH(orders!$D719,Product!$A$1:$A$49,0),MATCH(orders!J$1,Product!$A$1:$G$1,0))</f>
        <v>D</v>
      </c>
      <c r="K719" s="4">
        <f>INDEX(Product!$A$1:$G$49,MATCH(orders!$D719,Product!$A$1:$A$49,0),MATCH(orders!K$1,Product!$A$1:$G$1,0))</f>
        <v>2.5</v>
      </c>
      <c r="L719" s="5">
        <f>INDEX(Product!$A$1:$G$49,MATCH(orders!$D719,Product!$A$1:$A$49,0),MATCH(orders!L$1,Product!$A$1:$G$1,0))</f>
        <v>22.884999999999998</v>
      </c>
      <c r="M719" s="5">
        <f t="shared" si="11"/>
        <v>68.655000000000001</v>
      </c>
      <c r="N719" t="str" cm="1">
        <f t="array" ref="N719">_xlfn.IFS(I719="Rob", "Robusta", I719="Exc", "Excelsa", I719="Ara", "Arabica", I719="Lib", "Liberica", TRUE, "")</f>
        <v>Arabica</v>
      </c>
      <c r="O719" t="str" cm="1">
        <f t="array" ref="O719">_xlfn.IFS(J719="M", "Medium", J719="L", "Light", J719="D", "Dark", TRUE, "")</f>
        <v>Dark</v>
      </c>
      <c r="P719" t="str">
        <f>_xlfn.XLOOKUP(Table1[[#This Row],[Customer ID]], customers!$A$1:$A$1001, customers!$I$1:$I$1001,, 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INDEX(Product!$A$1:$G$49,MATCH(orders!$D720,Product!$A$1:$A$49,0),MATCH(orders!I$1,Product!$A$1:$G$1,0))</f>
        <v>Lib</v>
      </c>
      <c r="J720" t="str">
        <f>INDEX(Product!$A$1:$G$49,MATCH(orders!$D720,Product!$A$1:$A$49,0),MATCH(orders!J$1,Product!$A$1:$G$1,0))</f>
        <v>D</v>
      </c>
      <c r="K720" s="4">
        <f>INDEX(Product!$A$1:$G$49,MATCH(orders!$D720,Product!$A$1:$A$49,0),MATCH(orders!K$1,Product!$A$1:$G$1,0))</f>
        <v>1</v>
      </c>
      <c r="L720" s="5">
        <f>INDEX(Product!$A$1:$G$49,MATCH(orders!$D720,Product!$A$1:$A$49,0),MATCH(orders!L$1,Product!$A$1:$G$1,0))</f>
        <v>12.95</v>
      </c>
      <c r="M720" s="5">
        <f t="shared" si="11"/>
        <v>38.849999999999994</v>
      </c>
      <c r="N720" t="str" cm="1">
        <f t="array" ref="N720">_xlfn.IFS(I720="Rob", "Robusta", I720="Exc", "Excelsa", I720="Ara", "Arabica", I720="Lib", "Liberica", TRUE, "")</f>
        <v>Liberica</v>
      </c>
      <c r="O720" t="str" cm="1">
        <f t="array" ref="O720">_xlfn.IFS(J720="M", "Medium", J720="L", "Light", J720="D", "Dark", TRUE, "")</f>
        <v>Dark</v>
      </c>
      <c r="P720" t="str">
        <f>_xlfn.XLOOKUP(Table1[[#This Row],[Customer ID]], customers!$A$1:$A$1001, customers!$I$1:$I$1001,, 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INDEX(Product!$A$1:$G$49,MATCH(orders!$D721,Product!$A$1:$A$49,0),MATCH(orders!I$1,Product!$A$1:$G$1,0))</f>
        <v>Lib</v>
      </c>
      <c r="J721" t="str">
        <f>INDEX(Product!$A$1:$G$49,MATCH(orders!$D721,Product!$A$1:$A$49,0),MATCH(orders!J$1,Product!$A$1:$G$1,0))</f>
        <v>L</v>
      </c>
      <c r="K721" s="4">
        <f>INDEX(Product!$A$1:$G$49,MATCH(orders!$D721,Product!$A$1:$A$49,0),MATCH(orders!K$1,Product!$A$1:$G$1,0))</f>
        <v>1</v>
      </c>
      <c r="L721" s="5">
        <f>INDEX(Product!$A$1:$G$49,MATCH(orders!$D721,Product!$A$1:$A$49,0),MATCH(orders!L$1,Product!$A$1:$G$1,0))</f>
        <v>15.85</v>
      </c>
      <c r="M721" s="5">
        <f t="shared" si="11"/>
        <v>79.25</v>
      </c>
      <c r="N721" t="str" cm="1">
        <f t="array" ref="N721">_xlfn.IFS(I721="Rob", "Robusta", I721="Exc", "Excelsa", I721="Ara", "Arabica", I721="Lib", "Liberica", TRUE, "")</f>
        <v>Liberica</v>
      </c>
      <c r="O721" t="str" cm="1">
        <f t="array" ref="O721">_xlfn.IFS(J721="M", "Medium", J721="L", "Light", J721="D", "Dark", TRUE, "")</f>
        <v>Light</v>
      </c>
      <c r="P721" t="str">
        <f>_xlfn.XLOOKUP(Table1[[#This Row],[Customer ID]], customers!$A$1:$A$1001, customers!$I$1:$I$1001,, 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INDEX(Product!$A$1:$G$49,MATCH(orders!$D722,Product!$A$1:$A$49,0),MATCH(orders!I$1,Product!$A$1:$G$1,0))</f>
        <v>Exc</v>
      </c>
      <c r="J722" t="str">
        <f>INDEX(Product!$A$1:$G$49,MATCH(orders!$D722,Product!$A$1:$A$49,0),MATCH(orders!J$1,Product!$A$1:$G$1,0))</f>
        <v>D</v>
      </c>
      <c r="K722" s="4">
        <f>INDEX(Product!$A$1:$G$49,MATCH(orders!$D722,Product!$A$1:$A$49,0),MATCH(orders!K$1,Product!$A$1:$G$1,0))</f>
        <v>0.5</v>
      </c>
      <c r="L722" s="5">
        <f>INDEX(Product!$A$1:$G$49,MATCH(orders!$D722,Product!$A$1:$A$49,0),MATCH(orders!L$1,Product!$A$1:$G$1,0))</f>
        <v>7.29</v>
      </c>
      <c r="M722" s="5">
        <f t="shared" si="11"/>
        <v>36.450000000000003</v>
      </c>
      <c r="N722" t="str" cm="1">
        <f t="array" ref="N722">_xlfn.IFS(I722="Rob", "Robusta", I722="Exc", "Excelsa", I722="Ara", "Arabica", I722="Lib", "Liberica", TRUE, "")</f>
        <v>Excelsa</v>
      </c>
      <c r="O722" t="str" cm="1">
        <f t="array" ref="O722">_xlfn.IFS(J722="M", "Medium", J722="L", "Light", J722="D", "Dark", TRUE, "")</f>
        <v>Dark</v>
      </c>
      <c r="P722" t="str">
        <f>_xlfn.XLOOKUP(Table1[[#This Row],[Customer ID]], customers!$A$1:$A$1001, customers!$I$1:$I$1001,, 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INDEX(Product!$A$1:$G$49,MATCH(orders!$D723,Product!$A$1:$A$49,0),MATCH(orders!I$1,Product!$A$1:$G$1,0))</f>
        <v>Rob</v>
      </c>
      <c r="J723" t="str">
        <f>INDEX(Product!$A$1:$G$49,MATCH(orders!$D723,Product!$A$1:$A$49,0),MATCH(orders!J$1,Product!$A$1:$G$1,0))</f>
        <v>M</v>
      </c>
      <c r="K723" s="4">
        <f>INDEX(Product!$A$1:$G$49,MATCH(orders!$D723,Product!$A$1:$A$49,0),MATCH(orders!K$1,Product!$A$1:$G$1,0))</f>
        <v>0.2</v>
      </c>
      <c r="L723" s="5">
        <f>INDEX(Product!$A$1:$G$49,MATCH(orders!$D723,Product!$A$1:$A$49,0),MATCH(orders!L$1,Product!$A$1:$G$1,0))</f>
        <v>2.9849999999999999</v>
      </c>
      <c r="M723" s="5">
        <f t="shared" si="11"/>
        <v>8.9550000000000001</v>
      </c>
      <c r="N723" t="str" cm="1">
        <f t="array" ref="N723">_xlfn.IFS(I723="Rob", "Robusta", I723="Exc", "Excelsa", I723="Ara", "Arabica", I723="Lib", "Liberica", TRUE, "")</f>
        <v>Robusta</v>
      </c>
      <c r="O723" t="str" cm="1">
        <f t="array" ref="O723">_xlfn.IFS(J723="M", "Medium", J723="L", "Light", J723="D", "Dark", TRUE, "")</f>
        <v>Medium</v>
      </c>
      <c r="P723" t="str">
        <f>_xlfn.XLOOKUP(Table1[[#This Row],[Customer ID]], customers!$A$1:$A$1001, customers!$I$1:$I$1001,, 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INDEX(Product!$A$1:$G$49,MATCH(orders!$D724,Product!$A$1:$A$49,0),MATCH(orders!I$1,Product!$A$1:$G$1,0))</f>
        <v>Exc</v>
      </c>
      <c r="J724" t="str">
        <f>INDEX(Product!$A$1:$G$49,MATCH(orders!$D724,Product!$A$1:$A$49,0),MATCH(orders!J$1,Product!$A$1:$G$1,0))</f>
        <v>D</v>
      </c>
      <c r="K724" s="4">
        <f>INDEX(Product!$A$1:$G$49,MATCH(orders!$D724,Product!$A$1:$A$49,0),MATCH(orders!K$1,Product!$A$1:$G$1,0))</f>
        <v>1</v>
      </c>
      <c r="L724" s="5">
        <f>INDEX(Product!$A$1:$G$49,MATCH(orders!$D724,Product!$A$1:$A$49,0),MATCH(orders!L$1,Product!$A$1:$G$1,0))</f>
        <v>12.15</v>
      </c>
      <c r="M724" s="5">
        <f t="shared" si="11"/>
        <v>24.3</v>
      </c>
      <c r="N724" t="str" cm="1">
        <f t="array" ref="N724">_xlfn.IFS(I724="Rob", "Robusta", I724="Exc", "Excelsa", I724="Ara", "Arabica", I724="Lib", "Liberica", TRUE, "")</f>
        <v>Excelsa</v>
      </c>
      <c r="O724" t="str" cm="1">
        <f t="array" ref="O724">_xlfn.IFS(J724="M", "Medium", J724="L", "Light", J724="D", "Dark", TRUE, "")</f>
        <v>Dark</v>
      </c>
      <c r="P724" t="str">
        <f>_xlfn.XLOOKUP(Table1[[#This Row],[Customer ID]], customers!$A$1:$A$1001, customers!$I$1:$I$1001,, 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INDEX(Product!$A$1:$G$49,MATCH(orders!$D725,Product!$A$1:$A$49,0),MATCH(orders!I$1,Product!$A$1:$G$1,0))</f>
        <v>Exc</v>
      </c>
      <c r="J725" t="str">
        <f>INDEX(Product!$A$1:$G$49,MATCH(orders!$D725,Product!$A$1:$A$49,0),MATCH(orders!J$1,Product!$A$1:$G$1,0))</f>
        <v>M</v>
      </c>
      <c r="K725" s="4">
        <f>INDEX(Product!$A$1:$G$49,MATCH(orders!$D725,Product!$A$1:$A$49,0),MATCH(orders!K$1,Product!$A$1:$G$1,0))</f>
        <v>2.5</v>
      </c>
      <c r="L725" s="5">
        <f>INDEX(Product!$A$1:$G$49,MATCH(orders!$D725,Product!$A$1:$A$49,0),MATCH(orders!L$1,Product!$A$1:$G$1,0))</f>
        <v>31.624999999999996</v>
      </c>
      <c r="M725" s="5">
        <f t="shared" si="11"/>
        <v>63.249999999999993</v>
      </c>
      <c r="N725" t="str" cm="1">
        <f t="array" ref="N725">_xlfn.IFS(I725="Rob", "Robusta", I725="Exc", "Excelsa", I725="Ara", "Arabica", I725="Lib", "Liberica", TRUE, "")</f>
        <v>Excelsa</v>
      </c>
      <c r="O725" t="str" cm="1">
        <f t="array" ref="O725">_xlfn.IFS(J725="M", "Medium", J725="L", "Light", J725="D", "Dark", TRUE, "")</f>
        <v>Medium</v>
      </c>
      <c r="P725" t="str">
        <f>_xlfn.XLOOKUP(Table1[[#This Row],[Customer ID]], customers!$A$1:$A$1001, customers!$I$1:$I$1001,, 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INDEX(Product!$A$1:$G$49,MATCH(orders!$D726,Product!$A$1:$A$49,0),MATCH(orders!I$1,Product!$A$1:$G$1,0))</f>
        <v>Ara</v>
      </c>
      <c r="J726" t="str">
        <f>INDEX(Product!$A$1:$G$49,MATCH(orders!$D726,Product!$A$1:$A$49,0),MATCH(orders!J$1,Product!$A$1:$G$1,0))</f>
        <v>M</v>
      </c>
      <c r="K726" s="4">
        <f>INDEX(Product!$A$1:$G$49,MATCH(orders!$D726,Product!$A$1:$A$49,0),MATCH(orders!K$1,Product!$A$1:$G$1,0))</f>
        <v>0.2</v>
      </c>
      <c r="L726" s="5">
        <f>INDEX(Product!$A$1:$G$49,MATCH(orders!$D726,Product!$A$1:$A$49,0),MATCH(orders!L$1,Product!$A$1:$G$1,0))</f>
        <v>3.375</v>
      </c>
      <c r="M726" s="5">
        <f t="shared" si="11"/>
        <v>6.75</v>
      </c>
      <c r="N726" t="str" cm="1">
        <f t="array" ref="N726">_xlfn.IFS(I726="Rob", "Robusta", I726="Exc", "Excelsa", I726="Ara", "Arabica", I726="Lib", "Liberica", TRUE, "")</f>
        <v>Arabica</v>
      </c>
      <c r="O726" t="str" cm="1">
        <f t="array" ref="O726">_xlfn.IFS(J726="M", "Medium", J726="L", "Light", J726="D", "Dark", TRUE, "")</f>
        <v>Medium</v>
      </c>
      <c r="P726" t="str">
        <f>_xlfn.XLOOKUP(Table1[[#This Row],[Customer ID]], customers!$A$1:$A$1001, customers!$I$1:$I$1001,, 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INDEX(Product!$A$1:$G$49,MATCH(orders!$D727,Product!$A$1:$A$49,0),MATCH(orders!I$1,Product!$A$1:$G$1,0))</f>
        <v>Ara</v>
      </c>
      <c r="J727" t="str">
        <f>INDEX(Product!$A$1:$G$49,MATCH(orders!$D727,Product!$A$1:$A$49,0),MATCH(orders!J$1,Product!$A$1:$G$1,0))</f>
        <v>L</v>
      </c>
      <c r="K727" s="4">
        <f>INDEX(Product!$A$1:$G$49,MATCH(orders!$D727,Product!$A$1:$A$49,0),MATCH(orders!K$1,Product!$A$1:$G$1,0))</f>
        <v>0.2</v>
      </c>
      <c r="L727" s="5">
        <f>INDEX(Product!$A$1:$G$49,MATCH(orders!$D727,Product!$A$1:$A$49,0),MATCH(orders!L$1,Product!$A$1:$G$1,0))</f>
        <v>3.8849999999999998</v>
      </c>
      <c r="M727" s="5">
        <f t="shared" si="11"/>
        <v>23.31</v>
      </c>
      <c r="N727" t="str" cm="1">
        <f t="array" ref="N727">_xlfn.IFS(I727="Rob", "Robusta", I727="Exc", "Excelsa", I727="Ara", "Arabica", I727="Lib", "Liberica", TRUE, "")</f>
        <v>Arabica</v>
      </c>
      <c r="O727" t="str" cm="1">
        <f t="array" ref="O727">_xlfn.IFS(J727="M", "Medium", J727="L", "Light", J727="D", "Dark", TRUE, "")</f>
        <v>Light</v>
      </c>
      <c r="P727" t="str">
        <f>_xlfn.XLOOKUP(Table1[[#This Row],[Customer ID]], customers!$A$1:$A$1001, customers!$I$1:$I$1001,, 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INDEX(Product!$A$1:$G$49,MATCH(orders!$D728,Product!$A$1:$A$49,0),MATCH(orders!I$1,Product!$A$1:$G$1,0))</f>
        <v>Lib</v>
      </c>
      <c r="J728" t="str">
        <f>INDEX(Product!$A$1:$G$49,MATCH(orders!$D728,Product!$A$1:$A$49,0),MATCH(orders!J$1,Product!$A$1:$G$1,0))</f>
        <v>L</v>
      </c>
      <c r="K728" s="4">
        <f>INDEX(Product!$A$1:$G$49,MATCH(orders!$D728,Product!$A$1:$A$49,0),MATCH(orders!K$1,Product!$A$1:$G$1,0))</f>
        <v>2.5</v>
      </c>
      <c r="L728" s="5">
        <f>INDEX(Product!$A$1:$G$49,MATCH(orders!$D728,Product!$A$1:$A$49,0),MATCH(orders!L$1,Product!$A$1:$G$1,0))</f>
        <v>36.454999999999998</v>
      </c>
      <c r="M728" s="5">
        <f t="shared" si="11"/>
        <v>145.82</v>
      </c>
      <c r="N728" t="str" cm="1">
        <f t="array" ref="N728">_xlfn.IFS(I728="Rob", "Robusta", I728="Exc", "Excelsa", I728="Ara", "Arabica", I728="Lib", "Liberica", TRUE, "")</f>
        <v>Liberica</v>
      </c>
      <c r="O728" t="str" cm="1">
        <f t="array" ref="O728">_xlfn.IFS(J728="M", "Medium", J728="L", "Light", J728="D", "Dark", TRUE, "")</f>
        <v>Light</v>
      </c>
      <c r="P728" t="str">
        <f>_xlfn.XLOOKUP(Table1[[#This Row],[Customer ID]], customers!$A$1:$A$1001, customers!$I$1:$I$1001,, 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INDEX(Product!$A$1:$G$49,MATCH(orders!$D729,Product!$A$1:$A$49,0),MATCH(orders!I$1,Product!$A$1:$G$1,0))</f>
        <v>Rob</v>
      </c>
      <c r="J729" t="str">
        <f>INDEX(Product!$A$1:$G$49,MATCH(orders!$D729,Product!$A$1:$A$49,0),MATCH(orders!J$1,Product!$A$1:$G$1,0))</f>
        <v>M</v>
      </c>
      <c r="K729" s="4">
        <f>INDEX(Product!$A$1:$G$49,MATCH(orders!$D729,Product!$A$1:$A$49,0),MATCH(orders!K$1,Product!$A$1:$G$1,0))</f>
        <v>0.5</v>
      </c>
      <c r="L729" s="5">
        <f>INDEX(Product!$A$1:$G$49,MATCH(orders!$D729,Product!$A$1:$A$49,0),MATCH(orders!L$1,Product!$A$1:$G$1,0))</f>
        <v>5.97</v>
      </c>
      <c r="M729" s="5">
        <f t="shared" si="11"/>
        <v>29.849999999999998</v>
      </c>
      <c r="N729" t="str" cm="1">
        <f t="array" ref="N729">_xlfn.IFS(I729="Rob", "Robusta", I729="Exc", "Excelsa", I729="Ara", "Arabica", I729="Lib", "Liberica", TRUE, "")</f>
        <v>Robusta</v>
      </c>
      <c r="O729" t="str" cm="1">
        <f t="array" ref="O729">_xlfn.IFS(J729="M", "Medium", J729="L", "Light", J729="D", "Dark", TRUE, "")</f>
        <v>Medium</v>
      </c>
      <c r="P729" t="str">
        <f>_xlfn.XLOOKUP(Table1[[#This Row],[Customer ID]], customers!$A$1:$A$1001, customers!$I$1:$I$1001,, 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INDEX(Product!$A$1:$G$49,MATCH(orders!$D730,Product!$A$1:$A$49,0),MATCH(orders!I$1,Product!$A$1:$G$1,0))</f>
        <v>Exc</v>
      </c>
      <c r="J730" t="str">
        <f>INDEX(Product!$A$1:$G$49,MATCH(orders!$D730,Product!$A$1:$A$49,0),MATCH(orders!J$1,Product!$A$1:$G$1,0))</f>
        <v>D</v>
      </c>
      <c r="K730" s="4">
        <f>INDEX(Product!$A$1:$G$49,MATCH(orders!$D730,Product!$A$1:$A$49,0),MATCH(orders!K$1,Product!$A$1:$G$1,0))</f>
        <v>0.5</v>
      </c>
      <c r="L730" s="5">
        <f>INDEX(Product!$A$1:$G$49,MATCH(orders!$D730,Product!$A$1:$A$49,0),MATCH(orders!L$1,Product!$A$1:$G$1,0))</f>
        <v>7.29</v>
      </c>
      <c r="M730" s="5">
        <f t="shared" si="11"/>
        <v>21.87</v>
      </c>
      <c r="N730" t="str" cm="1">
        <f t="array" ref="N730">_xlfn.IFS(I730="Rob", "Robusta", I730="Exc", "Excelsa", I730="Ara", "Arabica", I730="Lib", "Liberica", TRUE, "")</f>
        <v>Excelsa</v>
      </c>
      <c r="O730" t="str" cm="1">
        <f t="array" ref="O730">_xlfn.IFS(J730="M", "Medium", J730="L", "Light", J730="D", "Dark", TRUE, "")</f>
        <v>Dark</v>
      </c>
      <c r="P730" t="str">
        <f>_xlfn.XLOOKUP(Table1[[#This Row],[Customer ID]], customers!$A$1:$A$1001, customers!$I$1:$I$1001,, 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INDEX(Product!$A$1:$G$49,MATCH(orders!$D731,Product!$A$1:$A$49,0),MATCH(orders!I$1,Product!$A$1:$G$1,0))</f>
        <v>Lib</v>
      </c>
      <c r="J731" t="str">
        <f>INDEX(Product!$A$1:$G$49,MATCH(orders!$D731,Product!$A$1:$A$49,0),MATCH(orders!J$1,Product!$A$1:$G$1,0))</f>
        <v>M</v>
      </c>
      <c r="K731" s="4">
        <f>INDEX(Product!$A$1:$G$49,MATCH(orders!$D731,Product!$A$1:$A$49,0),MATCH(orders!K$1,Product!$A$1:$G$1,0))</f>
        <v>0.2</v>
      </c>
      <c r="L731" s="5">
        <f>INDEX(Product!$A$1:$G$49,MATCH(orders!$D731,Product!$A$1:$A$49,0),MATCH(orders!L$1,Product!$A$1:$G$1,0))</f>
        <v>4.3650000000000002</v>
      </c>
      <c r="M731" s="5">
        <f t="shared" si="11"/>
        <v>4.3650000000000002</v>
      </c>
      <c r="N731" t="str" cm="1">
        <f t="array" ref="N731">_xlfn.IFS(I731="Rob", "Robusta", I731="Exc", "Excelsa", I731="Ara", "Arabica", I731="Lib", "Liberica", TRUE, "")</f>
        <v>Liberica</v>
      </c>
      <c r="O731" t="str" cm="1">
        <f t="array" ref="O731">_xlfn.IFS(J731="M", "Medium", J731="L", "Light", J731="D", "Dark", TRUE, "")</f>
        <v>Medium</v>
      </c>
      <c r="P731" t="str">
        <f>_xlfn.XLOOKUP(Table1[[#This Row],[Customer ID]], customers!$A$1:$A$1001, customers!$I$1:$I$1001,, 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INDEX(Product!$A$1:$G$49,MATCH(orders!$D732,Product!$A$1:$A$49,0),MATCH(orders!I$1,Product!$A$1:$G$1,0))</f>
        <v>Lib</v>
      </c>
      <c r="J732" t="str">
        <f>INDEX(Product!$A$1:$G$49,MATCH(orders!$D732,Product!$A$1:$A$49,0),MATCH(orders!J$1,Product!$A$1:$G$1,0))</f>
        <v>L</v>
      </c>
      <c r="K732" s="4">
        <f>INDEX(Product!$A$1:$G$49,MATCH(orders!$D732,Product!$A$1:$A$49,0),MATCH(orders!K$1,Product!$A$1:$G$1,0))</f>
        <v>2.5</v>
      </c>
      <c r="L732" s="5">
        <f>INDEX(Product!$A$1:$G$49,MATCH(orders!$D732,Product!$A$1:$A$49,0),MATCH(orders!L$1,Product!$A$1:$G$1,0))</f>
        <v>36.454999999999998</v>
      </c>
      <c r="M732" s="5">
        <f t="shared" si="11"/>
        <v>36.454999999999998</v>
      </c>
      <c r="N732" t="str" cm="1">
        <f t="array" ref="N732">_xlfn.IFS(I732="Rob", "Robusta", I732="Exc", "Excelsa", I732="Ara", "Arabica", I732="Lib", "Liberica", TRUE, "")</f>
        <v>Liberica</v>
      </c>
      <c r="O732" t="str" cm="1">
        <f t="array" ref="O732">_xlfn.IFS(J732="M", "Medium", J732="L", "Light", J732="D", "Dark", TRUE, "")</f>
        <v>Light</v>
      </c>
      <c r="P732" t="str">
        <f>_xlfn.XLOOKUP(Table1[[#This Row],[Customer ID]], customers!$A$1:$A$1001, customers!$I$1:$I$1001,, 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INDEX(Product!$A$1:$G$49,MATCH(orders!$D733,Product!$A$1:$A$49,0),MATCH(orders!I$1,Product!$A$1:$G$1,0))</f>
        <v>Lib</v>
      </c>
      <c r="J733" t="str">
        <f>INDEX(Product!$A$1:$G$49,MATCH(orders!$D733,Product!$A$1:$A$49,0),MATCH(orders!J$1,Product!$A$1:$G$1,0))</f>
        <v>D</v>
      </c>
      <c r="K733" s="4">
        <f>INDEX(Product!$A$1:$G$49,MATCH(orders!$D733,Product!$A$1:$A$49,0),MATCH(orders!K$1,Product!$A$1:$G$1,0))</f>
        <v>0.2</v>
      </c>
      <c r="L733" s="5">
        <f>INDEX(Product!$A$1:$G$49,MATCH(orders!$D733,Product!$A$1:$A$49,0),MATCH(orders!L$1,Product!$A$1:$G$1,0))</f>
        <v>3.8849999999999998</v>
      </c>
      <c r="M733" s="5">
        <f t="shared" si="11"/>
        <v>15.54</v>
      </c>
      <c r="N733" t="str" cm="1">
        <f t="array" ref="N733">_xlfn.IFS(I733="Rob", "Robusta", I733="Exc", "Excelsa", I733="Ara", "Arabica", I733="Lib", "Liberica", TRUE, "")</f>
        <v>Liberica</v>
      </c>
      <c r="O733" t="str" cm="1">
        <f t="array" ref="O733">_xlfn.IFS(J733="M", "Medium", J733="L", "Light", J733="D", "Dark", TRUE, "")</f>
        <v>Dark</v>
      </c>
      <c r="P733" t="str">
        <f>_xlfn.XLOOKUP(Table1[[#This Row],[Customer ID]], customers!$A$1:$A$1001, customers!$I$1:$I$1001,, 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INDEX(Product!$A$1:$G$49,MATCH(orders!$D734,Product!$A$1:$A$49,0),MATCH(orders!I$1,Product!$A$1:$G$1,0))</f>
        <v>Exc</v>
      </c>
      <c r="J734" t="str">
        <f>INDEX(Product!$A$1:$G$49,MATCH(orders!$D734,Product!$A$1:$A$49,0),MATCH(orders!J$1,Product!$A$1:$G$1,0))</f>
        <v>L</v>
      </c>
      <c r="K734" s="4">
        <f>INDEX(Product!$A$1:$G$49,MATCH(orders!$D734,Product!$A$1:$A$49,0),MATCH(orders!K$1,Product!$A$1:$G$1,0))</f>
        <v>0.2</v>
      </c>
      <c r="L734" s="5">
        <f>INDEX(Product!$A$1:$G$49,MATCH(orders!$D734,Product!$A$1:$A$49,0),MATCH(orders!L$1,Product!$A$1:$G$1,0))</f>
        <v>4.4550000000000001</v>
      </c>
      <c r="M734" s="5">
        <f t="shared" si="11"/>
        <v>8.91</v>
      </c>
      <c r="N734" t="str" cm="1">
        <f t="array" ref="N734">_xlfn.IFS(I734="Rob", "Robusta", I734="Exc", "Excelsa", I734="Ara", "Arabica", I734="Lib", "Liberica", TRUE, "")</f>
        <v>Excelsa</v>
      </c>
      <c r="O734" t="str" cm="1">
        <f t="array" ref="O734">_xlfn.IFS(J734="M", "Medium", J734="L", "Light", J734="D", "Dark", TRUE, "")</f>
        <v>Light</v>
      </c>
      <c r="P734" t="str">
        <f>_xlfn.XLOOKUP(Table1[[#This Row],[Customer ID]], customers!$A$1:$A$1001, customers!$I$1:$I$1001,, 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INDEX(Product!$A$1:$G$49,MATCH(orders!$D735,Product!$A$1:$A$49,0),MATCH(orders!I$1,Product!$A$1:$G$1,0))</f>
        <v>Lib</v>
      </c>
      <c r="J735" t="str">
        <f>INDEX(Product!$A$1:$G$49,MATCH(orders!$D735,Product!$A$1:$A$49,0),MATCH(orders!J$1,Product!$A$1:$G$1,0))</f>
        <v>M</v>
      </c>
      <c r="K735" s="4">
        <f>INDEX(Product!$A$1:$G$49,MATCH(orders!$D735,Product!$A$1:$A$49,0),MATCH(orders!K$1,Product!$A$1:$G$1,0))</f>
        <v>2.5</v>
      </c>
      <c r="L735" s="5">
        <f>INDEX(Product!$A$1:$G$49,MATCH(orders!$D735,Product!$A$1:$A$49,0),MATCH(orders!L$1,Product!$A$1:$G$1,0))</f>
        <v>33.464999999999996</v>
      </c>
      <c r="M735" s="5">
        <f t="shared" si="11"/>
        <v>100.39499999999998</v>
      </c>
      <c r="N735" t="str" cm="1">
        <f t="array" ref="N735">_xlfn.IFS(I735="Rob", "Robusta", I735="Exc", "Excelsa", I735="Ara", "Arabica", I735="Lib", "Liberica", TRUE, "")</f>
        <v>Liberica</v>
      </c>
      <c r="O735" t="str" cm="1">
        <f t="array" ref="O735">_xlfn.IFS(J735="M", "Medium", J735="L", "Light", J735="D", "Dark", TRUE, "")</f>
        <v>Medium</v>
      </c>
      <c r="P735" t="str">
        <f>_xlfn.XLOOKUP(Table1[[#This Row],[Customer ID]], customers!$A$1:$A$1001, customers!$I$1:$I$1001,, 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INDEX(Product!$A$1:$G$49,MATCH(orders!$D736,Product!$A$1:$A$49,0),MATCH(orders!I$1,Product!$A$1:$G$1,0))</f>
        <v>Rob</v>
      </c>
      <c r="J736" t="str">
        <f>INDEX(Product!$A$1:$G$49,MATCH(orders!$D736,Product!$A$1:$A$49,0),MATCH(orders!J$1,Product!$A$1:$G$1,0))</f>
        <v>D</v>
      </c>
      <c r="K736" s="4">
        <f>INDEX(Product!$A$1:$G$49,MATCH(orders!$D736,Product!$A$1:$A$49,0),MATCH(orders!K$1,Product!$A$1:$G$1,0))</f>
        <v>0.2</v>
      </c>
      <c r="L736" s="5">
        <f>INDEX(Product!$A$1:$G$49,MATCH(orders!$D736,Product!$A$1:$A$49,0),MATCH(orders!L$1,Product!$A$1:$G$1,0))</f>
        <v>2.6849999999999996</v>
      </c>
      <c r="M736" s="5">
        <f t="shared" si="11"/>
        <v>13.424999999999997</v>
      </c>
      <c r="N736" t="str" cm="1">
        <f t="array" ref="N736">_xlfn.IFS(I736="Rob", "Robusta", I736="Exc", "Excelsa", I736="Ara", "Arabica", I736="Lib", "Liberica", TRUE, "")</f>
        <v>Robusta</v>
      </c>
      <c r="O736" t="str" cm="1">
        <f t="array" ref="O736">_xlfn.IFS(J736="M", "Medium", J736="L", "Light", J736="D", "Dark", TRUE, "")</f>
        <v>Dark</v>
      </c>
      <c r="P736" t="str">
        <f>_xlfn.XLOOKUP(Table1[[#This Row],[Customer ID]], customers!$A$1:$A$1001, customers!$I$1:$I$1001,, 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INDEX(Product!$A$1:$G$49,MATCH(orders!$D737,Product!$A$1:$A$49,0),MATCH(orders!I$1,Product!$A$1:$G$1,0))</f>
        <v>Exc</v>
      </c>
      <c r="J737" t="str">
        <f>INDEX(Product!$A$1:$G$49,MATCH(orders!$D737,Product!$A$1:$A$49,0),MATCH(orders!J$1,Product!$A$1:$G$1,0))</f>
        <v>D</v>
      </c>
      <c r="K737" s="4">
        <f>INDEX(Product!$A$1:$G$49,MATCH(orders!$D737,Product!$A$1:$A$49,0),MATCH(orders!K$1,Product!$A$1:$G$1,0))</f>
        <v>0.2</v>
      </c>
      <c r="L737" s="5">
        <f>INDEX(Product!$A$1:$G$49,MATCH(orders!$D737,Product!$A$1:$A$49,0),MATCH(orders!L$1,Product!$A$1:$G$1,0))</f>
        <v>3.645</v>
      </c>
      <c r="M737" s="5">
        <f t="shared" si="11"/>
        <v>21.87</v>
      </c>
      <c r="N737" t="str" cm="1">
        <f t="array" ref="N737">_xlfn.IFS(I737="Rob", "Robusta", I737="Exc", "Excelsa", I737="Ara", "Arabica", I737="Lib", "Liberica", TRUE, "")</f>
        <v>Excelsa</v>
      </c>
      <c r="O737" t="str" cm="1">
        <f t="array" ref="O737">_xlfn.IFS(J737="M", "Medium", J737="L", "Light", J737="D", "Dark", TRUE, "")</f>
        <v>Dark</v>
      </c>
      <c r="P737" t="str">
        <f>_xlfn.XLOOKUP(Table1[[#This Row],[Customer ID]], customers!$A$1:$A$1001, customers!$I$1:$I$1001,, 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INDEX(Product!$A$1:$G$49,MATCH(orders!$D738,Product!$A$1:$A$49,0),MATCH(orders!I$1,Product!$A$1:$G$1,0))</f>
        <v>Lib</v>
      </c>
      <c r="J738" t="str">
        <f>INDEX(Product!$A$1:$G$49,MATCH(orders!$D738,Product!$A$1:$A$49,0),MATCH(orders!J$1,Product!$A$1:$G$1,0))</f>
        <v>D</v>
      </c>
      <c r="K738" s="4">
        <f>INDEX(Product!$A$1:$G$49,MATCH(orders!$D738,Product!$A$1:$A$49,0),MATCH(orders!K$1,Product!$A$1:$G$1,0))</f>
        <v>1</v>
      </c>
      <c r="L738" s="5">
        <f>INDEX(Product!$A$1:$G$49,MATCH(orders!$D738,Product!$A$1:$A$49,0),MATCH(orders!L$1,Product!$A$1:$G$1,0))</f>
        <v>12.95</v>
      </c>
      <c r="M738" s="5">
        <f t="shared" si="11"/>
        <v>25.9</v>
      </c>
      <c r="N738" t="str" cm="1">
        <f t="array" ref="N738">_xlfn.IFS(I738="Rob", "Robusta", I738="Exc", "Excelsa", I738="Ara", "Arabica", I738="Lib", "Liberica", TRUE, "")</f>
        <v>Liberica</v>
      </c>
      <c r="O738" t="str" cm="1">
        <f t="array" ref="O738">_xlfn.IFS(J738="M", "Medium", J738="L", "Light", J738="D", "Dark", TRUE, "")</f>
        <v>Dark</v>
      </c>
      <c r="P738" t="str">
        <f>_xlfn.XLOOKUP(Table1[[#This Row],[Customer ID]], customers!$A$1:$A$1001, customers!$I$1:$I$1001,, 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INDEX(Product!$A$1:$G$49,MATCH(orders!$D739,Product!$A$1:$A$49,0),MATCH(orders!I$1,Product!$A$1:$G$1,0))</f>
        <v>Ara</v>
      </c>
      <c r="J739" t="str">
        <f>INDEX(Product!$A$1:$G$49,MATCH(orders!$D739,Product!$A$1:$A$49,0),MATCH(orders!J$1,Product!$A$1:$G$1,0))</f>
        <v>M</v>
      </c>
      <c r="K739" s="4">
        <f>INDEX(Product!$A$1:$G$49,MATCH(orders!$D739,Product!$A$1:$A$49,0),MATCH(orders!K$1,Product!$A$1:$G$1,0))</f>
        <v>1</v>
      </c>
      <c r="L739" s="5">
        <f>INDEX(Product!$A$1:$G$49,MATCH(orders!$D739,Product!$A$1:$A$49,0),MATCH(orders!L$1,Product!$A$1:$G$1,0))</f>
        <v>11.25</v>
      </c>
      <c r="M739" s="5">
        <f t="shared" si="11"/>
        <v>56.25</v>
      </c>
      <c r="N739" t="str" cm="1">
        <f t="array" ref="N739">_xlfn.IFS(I739="Rob", "Robusta", I739="Exc", "Excelsa", I739="Ara", "Arabica", I739="Lib", "Liberica", TRUE, "")</f>
        <v>Arabica</v>
      </c>
      <c r="O739" t="str" cm="1">
        <f t="array" ref="O739">_xlfn.IFS(J739="M", "Medium", J739="L", "Light", J739="D", "Dark", TRUE, "")</f>
        <v>Medium</v>
      </c>
      <c r="P739" t="str">
        <f>_xlfn.XLOOKUP(Table1[[#This Row],[Customer ID]], customers!$A$1:$A$1001, customers!$I$1:$I$1001,, 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INDEX(Product!$A$1:$G$49,MATCH(orders!$D740,Product!$A$1:$A$49,0),MATCH(orders!I$1,Product!$A$1:$G$1,0))</f>
        <v>Rob</v>
      </c>
      <c r="J740" t="str">
        <f>INDEX(Product!$A$1:$G$49,MATCH(orders!$D740,Product!$A$1:$A$49,0),MATCH(orders!J$1,Product!$A$1:$G$1,0))</f>
        <v>L</v>
      </c>
      <c r="K740" s="4">
        <f>INDEX(Product!$A$1:$G$49,MATCH(orders!$D740,Product!$A$1:$A$49,0),MATCH(orders!K$1,Product!$A$1:$G$1,0))</f>
        <v>0.2</v>
      </c>
      <c r="L740" s="5">
        <f>INDEX(Product!$A$1:$G$49,MATCH(orders!$D740,Product!$A$1:$A$49,0),MATCH(orders!L$1,Product!$A$1:$G$1,0))</f>
        <v>3.5849999999999995</v>
      </c>
      <c r="M740" s="5">
        <f t="shared" si="11"/>
        <v>10.754999999999999</v>
      </c>
      <c r="N740" t="str" cm="1">
        <f t="array" ref="N740">_xlfn.IFS(I740="Rob", "Robusta", I740="Exc", "Excelsa", I740="Ara", "Arabica", I740="Lib", "Liberica", TRUE, "")</f>
        <v>Robusta</v>
      </c>
      <c r="O740" t="str" cm="1">
        <f t="array" ref="O740">_xlfn.IFS(J740="M", "Medium", J740="L", "Light", J740="D", "Dark", TRUE, "")</f>
        <v>Light</v>
      </c>
      <c r="P740" t="str">
        <f>_xlfn.XLOOKUP(Table1[[#This Row],[Customer ID]], customers!$A$1:$A$1001, customers!$I$1:$I$1001,, 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INDEX(Product!$A$1:$G$49,MATCH(orders!$D741,Product!$A$1:$A$49,0),MATCH(orders!I$1,Product!$A$1:$G$1,0))</f>
        <v>Exc</v>
      </c>
      <c r="J741" t="str">
        <f>INDEX(Product!$A$1:$G$49,MATCH(orders!$D741,Product!$A$1:$A$49,0),MATCH(orders!J$1,Product!$A$1:$G$1,0))</f>
        <v>D</v>
      </c>
      <c r="K741" s="4">
        <f>INDEX(Product!$A$1:$G$49,MATCH(orders!$D741,Product!$A$1:$A$49,0),MATCH(orders!K$1,Product!$A$1:$G$1,0))</f>
        <v>0.2</v>
      </c>
      <c r="L741" s="5">
        <f>INDEX(Product!$A$1:$G$49,MATCH(orders!$D741,Product!$A$1:$A$49,0),MATCH(orders!L$1,Product!$A$1:$G$1,0))</f>
        <v>3.645</v>
      </c>
      <c r="M741" s="5">
        <f t="shared" si="11"/>
        <v>18.225000000000001</v>
      </c>
      <c r="N741" t="str" cm="1">
        <f t="array" ref="N741">_xlfn.IFS(I741="Rob", "Robusta", I741="Exc", "Excelsa", I741="Ara", "Arabica", I741="Lib", "Liberica", TRUE, "")</f>
        <v>Excelsa</v>
      </c>
      <c r="O741" t="str" cm="1">
        <f t="array" ref="O741">_xlfn.IFS(J741="M", "Medium", J741="L", "Light", J741="D", "Dark", TRUE, "")</f>
        <v>Dark</v>
      </c>
      <c r="P741" t="str">
        <f>_xlfn.XLOOKUP(Table1[[#This Row],[Customer ID]], customers!$A$1:$A$1001, customers!$I$1:$I$1001,, 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INDEX(Product!$A$1:$G$49,MATCH(orders!$D742,Product!$A$1:$A$49,0),MATCH(orders!I$1,Product!$A$1:$G$1,0))</f>
        <v>Rob</v>
      </c>
      <c r="J742" t="str">
        <f>INDEX(Product!$A$1:$G$49,MATCH(orders!$D742,Product!$A$1:$A$49,0),MATCH(orders!J$1,Product!$A$1:$G$1,0))</f>
        <v>L</v>
      </c>
      <c r="K742" s="4">
        <f>INDEX(Product!$A$1:$G$49,MATCH(orders!$D742,Product!$A$1:$A$49,0),MATCH(orders!K$1,Product!$A$1:$G$1,0))</f>
        <v>0.5</v>
      </c>
      <c r="L742" s="5">
        <f>INDEX(Product!$A$1:$G$49,MATCH(orders!$D742,Product!$A$1:$A$49,0),MATCH(orders!L$1,Product!$A$1:$G$1,0))</f>
        <v>7.169999999999999</v>
      </c>
      <c r="M742" s="5">
        <f t="shared" si="11"/>
        <v>28.679999999999996</v>
      </c>
      <c r="N742" t="str" cm="1">
        <f t="array" ref="N742">_xlfn.IFS(I742="Rob", "Robusta", I742="Exc", "Excelsa", I742="Ara", "Arabica", I742="Lib", "Liberica", TRUE, "")</f>
        <v>Robusta</v>
      </c>
      <c r="O742" t="str" cm="1">
        <f t="array" ref="O742">_xlfn.IFS(J742="M", "Medium", J742="L", "Light", J742="D", "Dark", TRUE, "")</f>
        <v>Light</v>
      </c>
      <c r="P742" t="str">
        <f>_xlfn.XLOOKUP(Table1[[#This Row],[Customer ID]], customers!$A$1:$A$1001, customers!$I$1:$I$1001,, 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INDEX(Product!$A$1:$G$49,MATCH(orders!$D743,Product!$A$1:$A$49,0),MATCH(orders!I$1,Product!$A$1:$G$1,0))</f>
        <v>Lib</v>
      </c>
      <c r="J743" t="str">
        <f>INDEX(Product!$A$1:$G$49,MATCH(orders!$D743,Product!$A$1:$A$49,0),MATCH(orders!J$1,Product!$A$1:$G$1,0))</f>
        <v>M</v>
      </c>
      <c r="K743" s="4">
        <f>INDEX(Product!$A$1:$G$49,MATCH(orders!$D743,Product!$A$1:$A$49,0),MATCH(orders!K$1,Product!$A$1:$G$1,0))</f>
        <v>0.2</v>
      </c>
      <c r="L743" s="5">
        <f>INDEX(Product!$A$1:$G$49,MATCH(orders!$D743,Product!$A$1:$A$49,0),MATCH(orders!L$1,Product!$A$1:$G$1,0))</f>
        <v>4.3650000000000002</v>
      </c>
      <c r="M743" s="5">
        <f t="shared" si="11"/>
        <v>8.73</v>
      </c>
      <c r="N743" t="str" cm="1">
        <f t="array" ref="N743">_xlfn.IFS(I743="Rob", "Robusta", I743="Exc", "Excelsa", I743="Ara", "Arabica", I743="Lib", "Liberica", TRUE, "")</f>
        <v>Liberica</v>
      </c>
      <c r="O743" t="str" cm="1">
        <f t="array" ref="O743">_xlfn.IFS(J743="M", "Medium", J743="L", "Light", J743="D", "Dark", TRUE, "")</f>
        <v>Medium</v>
      </c>
      <c r="P743" t="str">
        <f>_xlfn.XLOOKUP(Table1[[#This Row],[Customer ID]], customers!$A$1:$A$1001, customers!$I$1:$I$1001,, 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INDEX(Product!$A$1:$G$49,MATCH(orders!$D744,Product!$A$1:$A$49,0),MATCH(orders!I$1,Product!$A$1:$G$1,0))</f>
        <v>Lib</v>
      </c>
      <c r="J744" t="str">
        <f>INDEX(Product!$A$1:$G$49,MATCH(orders!$D744,Product!$A$1:$A$49,0),MATCH(orders!J$1,Product!$A$1:$G$1,0))</f>
        <v>M</v>
      </c>
      <c r="K744" s="4">
        <f>INDEX(Product!$A$1:$G$49,MATCH(orders!$D744,Product!$A$1:$A$49,0),MATCH(orders!K$1,Product!$A$1:$G$1,0))</f>
        <v>1</v>
      </c>
      <c r="L744" s="5">
        <f>INDEX(Product!$A$1:$G$49,MATCH(orders!$D744,Product!$A$1:$A$49,0),MATCH(orders!L$1,Product!$A$1:$G$1,0))</f>
        <v>14.55</v>
      </c>
      <c r="M744" s="5">
        <f t="shared" si="11"/>
        <v>58.2</v>
      </c>
      <c r="N744" t="str" cm="1">
        <f t="array" ref="N744">_xlfn.IFS(I744="Rob", "Robusta", I744="Exc", "Excelsa", I744="Ara", "Arabica", I744="Lib", "Liberica", TRUE, "")</f>
        <v>Liberica</v>
      </c>
      <c r="O744" t="str" cm="1">
        <f t="array" ref="O744">_xlfn.IFS(J744="M", "Medium", J744="L", "Light", J744="D", "Dark", TRUE, "")</f>
        <v>Medium</v>
      </c>
      <c r="P744" t="str">
        <f>_xlfn.XLOOKUP(Table1[[#This Row],[Customer ID]], customers!$A$1:$A$1001, customers!$I$1:$I$1001,, 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INDEX(Product!$A$1:$G$49,MATCH(orders!$D745,Product!$A$1:$A$49,0),MATCH(orders!I$1,Product!$A$1:$G$1,0))</f>
        <v>Ara</v>
      </c>
      <c r="J745" t="str">
        <f>INDEX(Product!$A$1:$G$49,MATCH(orders!$D745,Product!$A$1:$A$49,0),MATCH(orders!J$1,Product!$A$1:$G$1,0))</f>
        <v>D</v>
      </c>
      <c r="K745" s="4">
        <f>INDEX(Product!$A$1:$G$49,MATCH(orders!$D745,Product!$A$1:$A$49,0),MATCH(orders!K$1,Product!$A$1:$G$1,0))</f>
        <v>0.5</v>
      </c>
      <c r="L745" s="5">
        <f>INDEX(Product!$A$1:$G$49,MATCH(orders!$D745,Product!$A$1:$A$49,0),MATCH(orders!L$1,Product!$A$1:$G$1,0))</f>
        <v>5.97</v>
      </c>
      <c r="M745" s="5">
        <f t="shared" si="11"/>
        <v>17.91</v>
      </c>
      <c r="N745" t="str" cm="1">
        <f t="array" ref="N745">_xlfn.IFS(I745="Rob", "Robusta", I745="Exc", "Excelsa", I745="Ara", "Arabica", I745="Lib", "Liberica", TRUE, "")</f>
        <v>Arabica</v>
      </c>
      <c r="O745" t="str" cm="1">
        <f t="array" ref="O745">_xlfn.IFS(J745="M", "Medium", J745="L", "Light", J745="D", "Dark", TRUE, "")</f>
        <v>Dark</v>
      </c>
      <c r="P745" t="str">
        <f>_xlfn.XLOOKUP(Table1[[#This Row],[Customer ID]], customers!$A$1:$A$1001, customers!$I$1:$I$1001,, 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INDEX(Product!$A$1:$G$49,MATCH(orders!$D746,Product!$A$1:$A$49,0),MATCH(orders!I$1,Product!$A$1:$G$1,0))</f>
        <v>Rob</v>
      </c>
      <c r="J746" t="str">
        <f>INDEX(Product!$A$1:$G$49,MATCH(orders!$D746,Product!$A$1:$A$49,0),MATCH(orders!J$1,Product!$A$1:$G$1,0))</f>
        <v>M</v>
      </c>
      <c r="K746" s="4">
        <f>INDEX(Product!$A$1:$G$49,MATCH(orders!$D746,Product!$A$1:$A$49,0),MATCH(orders!K$1,Product!$A$1:$G$1,0))</f>
        <v>0.2</v>
      </c>
      <c r="L746" s="5">
        <f>INDEX(Product!$A$1:$G$49,MATCH(orders!$D746,Product!$A$1:$A$49,0),MATCH(orders!L$1,Product!$A$1:$G$1,0))</f>
        <v>2.9849999999999999</v>
      </c>
      <c r="M746" s="5">
        <f t="shared" si="11"/>
        <v>17.91</v>
      </c>
      <c r="N746" t="str" cm="1">
        <f t="array" ref="N746">_xlfn.IFS(I746="Rob", "Robusta", I746="Exc", "Excelsa", I746="Ara", "Arabica", I746="Lib", "Liberica", TRUE, "")</f>
        <v>Robusta</v>
      </c>
      <c r="O746" t="str" cm="1">
        <f t="array" ref="O746">_xlfn.IFS(J746="M", "Medium", J746="L", "Light", J746="D", "Dark", TRUE, "")</f>
        <v>Medium</v>
      </c>
      <c r="P746" t="str">
        <f>_xlfn.XLOOKUP(Table1[[#This Row],[Customer ID]], customers!$A$1:$A$1001, customers!$I$1:$I$1001,, 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INDEX(Product!$A$1:$G$49,MATCH(orders!$D747,Product!$A$1:$A$49,0),MATCH(orders!I$1,Product!$A$1:$G$1,0))</f>
        <v>Exc</v>
      </c>
      <c r="J747" t="str">
        <f>INDEX(Product!$A$1:$G$49,MATCH(orders!$D747,Product!$A$1:$A$49,0),MATCH(orders!J$1,Product!$A$1:$G$1,0))</f>
        <v>D</v>
      </c>
      <c r="K747" s="4">
        <f>INDEX(Product!$A$1:$G$49,MATCH(orders!$D747,Product!$A$1:$A$49,0),MATCH(orders!K$1,Product!$A$1:$G$1,0))</f>
        <v>0.5</v>
      </c>
      <c r="L747" s="5">
        <f>INDEX(Product!$A$1:$G$49,MATCH(orders!$D747,Product!$A$1:$A$49,0),MATCH(orders!L$1,Product!$A$1:$G$1,0))</f>
        <v>7.29</v>
      </c>
      <c r="M747" s="5">
        <f t="shared" si="11"/>
        <v>14.58</v>
      </c>
      <c r="N747" t="str" cm="1">
        <f t="array" ref="N747">_xlfn.IFS(I747="Rob", "Robusta", I747="Exc", "Excelsa", I747="Ara", "Arabica", I747="Lib", "Liberica", TRUE, "")</f>
        <v>Excelsa</v>
      </c>
      <c r="O747" t="str" cm="1">
        <f t="array" ref="O747">_xlfn.IFS(J747="M", "Medium", J747="L", "Light", J747="D", "Dark", TRUE, "")</f>
        <v>Dark</v>
      </c>
      <c r="P747" t="str">
        <f>_xlfn.XLOOKUP(Table1[[#This Row],[Customer ID]], customers!$A$1:$A$1001, customers!$I$1:$I$1001,, 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INDEX(Product!$A$1:$G$49,MATCH(orders!$D748,Product!$A$1:$A$49,0),MATCH(orders!I$1,Product!$A$1:$G$1,0))</f>
        <v>Ara</v>
      </c>
      <c r="J748" t="str">
        <f>INDEX(Product!$A$1:$G$49,MATCH(orders!$D748,Product!$A$1:$A$49,0),MATCH(orders!J$1,Product!$A$1:$G$1,0))</f>
        <v>M</v>
      </c>
      <c r="K748" s="4">
        <f>INDEX(Product!$A$1:$G$49,MATCH(orders!$D748,Product!$A$1:$A$49,0),MATCH(orders!K$1,Product!$A$1:$G$1,0))</f>
        <v>1</v>
      </c>
      <c r="L748" s="5">
        <f>INDEX(Product!$A$1:$G$49,MATCH(orders!$D748,Product!$A$1:$A$49,0),MATCH(orders!L$1,Product!$A$1:$G$1,0))</f>
        <v>11.25</v>
      </c>
      <c r="M748" s="5">
        <f t="shared" si="11"/>
        <v>33.75</v>
      </c>
      <c r="N748" t="str" cm="1">
        <f t="array" ref="N748">_xlfn.IFS(I748="Rob", "Robusta", I748="Exc", "Excelsa", I748="Ara", "Arabica", I748="Lib", "Liberica", TRUE, "")</f>
        <v>Arabica</v>
      </c>
      <c r="O748" t="str" cm="1">
        <f t="array" ref="O748">_xlfn.IFS(J748="M", "Medium", J748="L", "Light", J748="D", "Dark", TRUE, "")</f>
        <v>Medium</v>
      </c>
      <c r="P748" t="str">
        <f>_xlfn.XLOOKUP(Table1[[#This Row],[Customer ID]], customers!$A$1:$A$1001, customers!$I$1:$I$1001,, 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INDEX(Product!$A$1:$G$49,MATCH(orders!$D749,Product!$A$1:$A$49,0),MATCH(orders!I$1,Product!$A$1:$G$1,0))</f>
        <v>Lib</v>
      </c>
      <c r="J749" t="str">
        <f>INDEX(Product!$A$1:$G$49,MATCH(orders!$D749,Product!$A$1:$A$49,0),MATCH(orders!J$1,Product!$A$1:$G$1,0))</f>
        <v>M</v>
      </c>
      <c r="K749" s="4">
        <f>INDEX(Product!$A$1:$G$49,MATCH(orders!$D749,Product!$A$1:$A$49,0),MATCH(orders!K$1,Product!$A$1:$G$1,0))</f>
        <v>0.5</v>
      </c>
      <c r="L749" s="5">
        <f>INDEX(Product!$A$1:$G$49,MATCH(orders!$D749,Product!$A$1:$A$49,0),MATCH(orders!L$1,Product!$A$1:$G$1,0))</f>
        <v>8.73</v>
      </c>
      <c r="M749" s="5">
        <f t="shared" si="11"/>
        <v>34.92</v>
      </c>
      <c r="N749" t="str" cm="1">
        <f t="array" ref="N749">_xlfn.IFS(I749="Rob", "Robusta", I749="Exc", "Excelsa", I749="Ara", "Arabica", I749="Lib", "Liberica", TRUE, "")</f>
        <v>Liberica</v>
      </c>
      <c r="O749" t="str" cm="1">
        <f t="array" ref="O749">_xlfn.IFS(J749="M", "Medium", J749="L", "Light", J749="D", "Dark", TRUE, "")</f>
        <v>Medium</v>
      </c>
      <c r="P749" t="str">
        <f>_xlfn.XLOOKUP(Table1[[#This Row],[Customer ID]], customers!$A$1:$A$1001, customers!$I$1:$I$1001,, 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INDEX(Product!$A$1:$G$49,MATCH(orders!$D750,Product!$A$1:$A$49,0),MATCH(orders!I$1,Product!$A$1:$G$1,0))</f>
        <v>Exc</v>
      </c>
      <c r="J750" t="str">
        <f>INDEX(Product!$A$1:$G$49,MATCH(orders!$D750,Product!$A$1:$A$49,0),MATCH(orders!J$1,Product!$A$1:$G$1,0))</f>
        <v>D</v>
      </c>
      <c r="K750" s="4">
        <f>INDEX(Product!$A$1:$G$49,MATCH(orders!$D750,Product!$A$1:$A$49,0),MATCH(orders!K$1,Product!$A$1:$G$1,0))</f>
        <v>0.5</v>
      </c>
      <c r="L750" s="5">
        <f>INDEX(Product!$A$1:$G$49,MATCH(orders!$D750,Product!$A$1:$A$49,0),MATCH(orders!L$1,Product!$A$1:$G$1,0))</f>
        <v>7.29</v>
      </c>
      <c r="M750" s="5">
        <f t="shared" si="11"/>
        <v>14.58</v>
      </c>
      <c r="N750" t="str" cm="1">
        <f t="array" ref="N750">_xlfn.IFS(I750="Rob", "Robusta", I750="Exc", "Excelsa", I750="Ara", "Arabica", I750="Lib", "Liberica", TRUE, "")</f>
        <v>Excelsa</v>
      </c>
      <c r="O750" t="str" cm="1">
        <f t="array" ref="O750">_xlfn.IFS(J750="M", "Medium", J750="L", "Light", J750="D", "Dark", TRUE, "")</f>
        <v>Dark</v>
      </c>
      <c r="P750" t="str">
        <f>_xlfn.XLOOKUP(Table1[[#This Row],[Customer ID]], customers!$A$1:$A$1001, customers!$I$1:$I$1001,, 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INDEX(Product!$A$1:$G$49,MATCH(orders!$D751,Product!$A$1:$A$49,0),MATCH(orders!I$1,Product!$A$1:$G$1,0))</f>
        <v>Rob</v>
      </c>
      <c r="J751" t="str">
        <f>INDEX(Product!$A$1:$G$49,MATCH(orders!$D751,Product!$A$1:$A$49,0),MATCH(orders!J$1,Product!$A$1:$G$1,0))</f>
        <v>D</v>
      </c>
      <c r="K751" s="4">
        <f>INDEX(Product!$A$1:$G$49,MATCH(orders!$D751,Product!$A$1:$A$49,0),MATCH(orders!K$1,Product!$A$1:$G$1,0))</f>
        <v>0.2</v>
      </c>
      <c r="L751" s="5">
        <f>INDEX(Product!$A$1:$G$49,MATCH(orders!$D751,Product!$A$1:$A$49,0),MATCH(orders!L$1,Product!$A$1:$G$1,0))</f>
        <v>2.6849999999999996</v>
      </c>
      <c r="M751" s="5">
        <f t="shared" si="11"/>
        <v>5.3699999999999992</v>
      </c>
      <c r="N751" t="str" cm="1">
        <f t="array" ref="N751">_xlfn.IFS(I751="Rob", "Robusta", I751="Exc", "Excelsa", I751="Ara", "Arabica", I751="Lib", "Liberica", TRUE, "")</f>
        <v>Robusta</v>
      </c>
      <c r="O751" t="str" cm="1">
        <f t="array" ref="O751">_xlfn.IFS(J751="M", "Medium", J751="L", "Light", J751="D", "Dark", TRUE, "")</f>
        <v>Dark</v>
      </c>
      <c r="P751" t="str">
        <f>_xlfn.XLOOKUP(Table1[[#This Row],[Customer ID]], customers!$A$1:$A$1001, customers!$I$1:$I$1001,, 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INDEX(Product!$A$1:$G$49,MATCH(orders!$D752,Product!$A$1:$A$49,0),MATCH(orders!I$1,Product!$A$1:$G$1,0))</f>
        <v>Rob</v>
      </c>
      <c r="J752" t="str">
        <f>INDEX(Product!$A$1:$G$49,MATCH(orders!$D752,Product!$A$1:$A$49,0),MATCH(orders!J$1,Product!$A$1:$G$1,0))</f>
        <v>M</v>
      </c>
      <c r="K752" s="4">
        <f>INDEX(Product!$A$1:$G$49,MATCH(orders!$D752,Product!$A$1:$A$49,0),MATCH(orders!K$1,Product!$A$1:$G$1,0))</f>
        <v>0.5</v>
      </c>
      <c r="L752" s="5">
        <f>INDEX(Product!$A$1:$G$49,MATCH(orders!$D752,Product!$A$1:$A$49,0),MATCH(orders!L$1,Product!$A$1:$G$1,0))</f>
        <v>5.97</v>
      </c>
      <c r="M752" s="5">
        <f t="shared" si="11"/>
        <v>5.97</v>
      </c>
      <c r="N752" t="str" cm="1">
        <f t="array" ref="N752">_xlfn.IFS(I752="Rob", "Robusta", I752="Exc", "Excelsa", I752="Ara", "Arabica", I752="Lib", "Liberica", TRUE, "")</f>
        <v>Robusta</v>
      </c>
      <c r="O752" t="str" cm="1">
        <f t="array" ref="O752">_xlfn.IFS(J752="M", "Medium", J752="L", "Light", J752="D", "Dark", TRUE, "")</f>
        <v>Medium</v>
      </c>
      <c r="P752" t="str">
        <f>_xlfn.XLOOKUP(Table1[[#This Row],[Customer ID]], customers!$A$1:$A$1001, customers!$I$1:$I$1001,, 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INDEX(Product!$A$1:$G$49,MATCH(orders!$D753,Product!$A$1:$A$49,0),MATCH(orders!I$1,Product!$A$1:$G$1,0))</f>
        <v>Lib</v>
      </c>
      <c r="J753" t="str">
        <f>INDEX(Product!$A$1:$G$49,MATCH(orders!$D753,Product!$A$1:$A$49,0),MATCH(orders!J$1,Product!$A$1:$G$1,0))</f>
        <v>L</v>
      </c>
      <c r="K753" s="4">
        <f>INDEX(Product!$A$1:$G$49,MATCH(orders!$D753,Product!$A$1:$A$49,0),MATCH(orders!K$1,Product!$A$1:$G$1,0))</f>
        <v>0.5</v>
      </c>
      <c r="L753" s="5">
        <f>INDEX(Product!$A$1:$G$49,MATCH(orders!$D753,Product!$A$1:$A$49,0),MATCH(orders!L$1,Product!$A$1:$G$1,0))</f>
        <v>9.51</v>
      </c>
      <c r="M753" s="5">
        <f t="shared" si="11"/>
        <v>19.02</v>
      </c>
      <c r="N753" t="str" cm="1">
        <f t="array" ref="N753">_xlfn.IFS(I753="Rob", "Robusta", I753="Exc", "Excelsa", I753="Ara", "Arabica", I753="Lib", "Liberica", TRUE, "")</f>
        <v>Liberica</v>
      </c>
      <c r="O753" t="str" cm="1">
        <f t="array" ref="O753">_xlfn.IFS(J753="M", "Medium", J753="L", "Light", J753="D", "Dark", TRUE, "")</f>
        <v>Light</v>
      </c>
      <c r="P753" t="str">
        <f>_xlfn.XLOOKUP(Table1[[#This Row],[Customer ID]], customers!$A$1:$A$1001, customers!$I$1:$I$1001,, 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INDEX(Product!$A$1:$G$49,MATCH(orders!$D754,Product!$A$1:$A$49,0),MATCH(orders!I$1,Product!$A$1:$G$1,0))</f>
        <v>Exc</v>
      </c>
      <c r="J754" t="str">
        <f>INDEX(Product!$A$1:$G$49,MATCH(orders!$D754,Product!$A$1:$A$49,0),MATCH(orders!J$1,Product!$A$1:$G$1,0))</f>
        <v>M</v>
      </c>
      <c r="K754" s="4">
        <f>INDEX(Product!$A$1:$G$49,MATCH(orders!$D754,Product!$A$1:$A$49,0),MATCH(orders!K$1,Product!$A$1:$G$1,0))</f>
        <v>1</v>
      </c>
      <c r="L754" s="5">
        <f>INDEX(Product!$A$1:$G$49,MATCH(orders!$D754,Product!$A$1:$A$49,0),MATCH(orders!L$1,Product!$A$1:$G$1,0))</f>
        <v>13.75</v>
      </c>
      <c r="M754" s="5">
        <f t="shared" si="11"/>
        <v>27.5</v>
      </c>
      <c r="N754" t="str" cm="1">
        <f t="array" ref="N754">_xlfn.IFS(I754="Rob", "Robusta", I754="Exc", "Excelsa", I754="Ara", "Arabica", I754="Lib", "Liberica", TRUE, "")</f>
        <v>Excelsa</v>
      </c>
      <c r="O754" t="str" cm="1">
        <f t="array" ref="O754">_xlfn.IFS(J754="M", "Medium", J754="L", "Light", J754="D", "Dark", TRUE, "")</f>
        <v>Medium</v>
      </c>
      <c r="P754" t="str">
        <f>_xlfn.XLOOKUP(Table1[[#This Row],[Customer ID]], customers!$A$1:$A$1001, customers!$I$1:$I$1001,, 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INDEX(Product!$A$1:$G$49,MATCH(orders!$D755,Product!$A$1:$A$49,0),MATCH(orders!I$1,Product!$A$1:$G$1,0))</f>
        <v>Ara</v>
      </c>
      <c r="J755" t="str">
        <f>INDEX(Product!$A$1:$G$49,MATCH(orders!$D755,Product!$A$1:$A$49,0),MATCH(orders!J$1,Product!$A$1:$G$1,0))</f>
        <v>D</v>
      </c>
      <c r="K755" s="4">
        <f>INDEX(Product!$A$1:$G$49,MATCH(orders!$D755,Product!$A$1:$A$49,0),MATCH(orders!K$1,Product!$A$1:$G$1,0))</f>
        <v>0.5</v>
      </c>
      <c r="L755" s="5">
        <f>INDEX(Product!$A$1:$G$49,MATCH(orders!$D755,Product!$A$1:$A$49,0),MATCH(orders!L$1,Product!$A$1:$G$1,0))</f>
        <v>5.97</v>
      </c>
      <c r="M755" s="5">
        <f t="shared" si="11"/>
        <v>29.849999999999998</v>
      </c>
      <c r="N755" t="str" cm="1">
        <f t="array" ref="N755">_xlfn.IFS(I755="Rob", "Robusta", I755="Exc", "Excelsa", I755="Ara", "Arabica", I755="Lib", "Liberica", TRUE, "")</f>
        <v>Arabica</v>
      </c>
      <c r="O755" t="str" cm="1">
        <f t="array" ref="O755">_xlfn.IFS(J755="M", "Medium", J755="L", "Light", J755="D", "Dark", TRUE, "")</f>
        <v>Dark</v>
      </c>
      <c r="P755" t="str">
        <f>_xlfn.XLOOKUP(Table1[[#This Row],[Customer ID]], customers!$A$1:$A$1001, customers!$I$1:$I$1001,, 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INDEX(Product!$A$1:$G$49,MATCH(orders!$D756,Product!$A$1:$A$49,0),MATCH(orders!I$1,Product!$A$1:$G$1,0))</f>
        <v>Ara</v>
      </c>
      <c r="J756" t="str">
        <f>INDEX(Product!$A$1:$G$49,MATCH(orders!$D756,Product!$A$1:$A$49,0),MATCH(orders!J$1,Product!$A$1:$G$1,0))</f>
        <v>D</v>
      </c>
      <c r="K756" s="4">
        <f>INDEX(Product!$A$1:$G$49,MATCH(orders!$D756,Product!$A$1:$A$49,0),MATCH(orders!K$1,Product!$A$1:$G$1,0))</f>
        <v>0.2</v>
      </c>
      <c r="L756" s="5">
        <f>INDEX(Product!$A$1:$G$49,MATCH(orders!$D756,Product!$A$1:$A$49,0),MATCH(orders!L$1,Product!$A$1:$G$1,0))</f>
        <v>2.9849999999999999</v>
      </c>
      <c r="M756" s="5">
        <f t="shared" si="11"/>
        <v>17.91</v>
      </c>
      <c r="N756" t="str" cm="1">
        <f t="array" ref="N756">_xlfn.IFS(I756="Rob", "Robusta", I756="Exc", "Excelsa", I756="Ara", "Arabica", I756="Lib", "Liberica", TRUE, "")</f>
        <v>Arabica</v>
      </c>
      <c r="O756" t="str" cm="1">
        <f t="array" ref="O756">_xlfn.IFS(J756="M", "Medium", J756="L", "Light", J756="D", "Dark", TRUE, "")</f>
        <v>Dark</v>
      </c>
      <c r="P756" t="str">
        <f>_xlfn.XLOOKUP(Table1[[#This Row],[Customer ID]], customers!$A$1:$A$1001, customers!$I$1:$I$1001,, 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INDEX(Product!$A$1:$G$49,MATCH(orders!$D757,Product!$A$1:$A$49,0),MATCH(orders!I$1,Product!$A$1:$G$1,0))</f>
        <v>Lib</v>
      </c>
      <c r="J757" t="str">
        <f>INDEX(Product!$A$1:$G$49,MATCH(orders!$D757,Product!$A$1:$A$49,0),MATCH(orders!J$1,Product!$A$1:$G$1,0))</f>
        <v>L</v>
      </c>
      <c r="K757" s="4">
        <f>INDEX(Product!$A$1:$G$49,MATCH(orders!$D757,Product!$A$1:$A$49,0),MATCH(orders!K$1,Product!$A$1:$G$1,0))</f>
        <v>0.2</v>
      </c>
      <c r="L757" s="5">
        <f>INDEX(Product!$A$1:$G$49,MATCH(orders!$D757,Product!$A$1:$A$49,0),MATCH(orders!L$1,Product!$A$1:$G$1,0))</f>
        <v>4.7549999999999999</v>
      </c>
      <c r="M757" s="5">
        <f t="shared" si="11"/>
        <v>28.53</v>
      </c>
      <c r="N757" t="str" cm="1">
        <f t="array" ref="N757">_xlfn.IFS(I757="Rob", "Robusta", I757="Exc", "Excelsa", I757="Ara", "Arabica", I757="Lib", "Liberica", TRUE, "")</f>
        <v>Liberica</v>
      </c>
      <c r="O757" t="str" cm="1">
        <f t="array" ref="O757">_xlfn.IFS(J757="M", "Medium", J757="L", "Light", J757="D", "Dark", TRUE, "")</f>
        <v>Light</v>
      </c>
      <c r="P757" t="str">
        <f>_xlfn.XLOOKUP(Table1[[#This Row],[Customer ID]], customers!$A$1:$A$1001, customers!$I$1:$I$1001,, 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INDEX(Product!$A$1:$G$49,MATCH(orders!$D758,Product!$A$1:$A$49,0),MATCH(orders!I$1,Product!$A$1:$G$1,0))</f>
        <v>Rob</v>
      </c>
      <c r="J758" t="str">
        <f>INDEX(Product!$A$1:$G$49,MATCH(orders!$D758,Product!$A$1:$A$49,0),MATCH(orders!J$1,Product!$A$1:$G$1,0))</f>
        <v>D</v>
      </c>
      <c r="K758" s="4">
        <f>INDEX(Product!$A$1:$G$49,MATCH(orders!$D758,Product!$A$1:$A$49,0),MATCH(orders!K$1,Product!$A$1:$G$1,0))</f>
        <v>1</v>
      </c>
      <c r="L758" s="5">
        <f>INDEX(Product!$A$1:$G$49,MATCH(orders!$D758,Product!$A$1:$A$49,0),MATCH(orders!L$1,Product!$A$1:$G$1,0))</f>
        <v>8.9499999999999993</v>
      </c>
      <c r="M758" s="5">
        <f t="shared" si="11"/>
        <v>35.799999999999997</v>
      </c>
      <c r="N758" t="str" cm="1">
        <f t="array" ref="N758">_xlfn.IFS(I758="Rob", "Robusta", I758="Exc", "Excelsa", I758="Ara", "Arabica", I758="Lib", "Liberica", TRUE, "")</f>
        <v>Robusta</v>
      </c>
      <c r="O758" t="str" cm="1">
        <f t="array" ref="O758">_xlfn.IFS(J758="M", "Medium", J758="L", "Light", J758="D", "Dark", TRUE, "")</f>
        <v>Dark</v>
      </c>
      <c r="P758" t="str">
        <f>_xlfn.XLOOKUP(Table1[[#This Row],[Customer ID]], customers!$A$1:$A$1001, customers!$I$1:$I$1001,, 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INDEX(Product!$A$1:$G$49,MATCH(orders!$D759,Product!$A$1:$A$49,0),MATCH(orders!I$1,Product!$A$1:$G$1,0))</f>
        <v>Ara</v>
      </c>
      <c r="J759" t="str">
        <f>INDEX(Product!$A$1:$G$49,MATCH(orders!$D759,Product!$A$1:$A$49,0),MATCH(orders!J$1,Product!$A$1:$G$1,0))</f>
        <v>D</v>
      </c>
      <c r="K759" s="4">
        <f>INDEX(Product!$A$1:$G$49,MATCH(orders!$D759,Product!$A$1:$A$49,0),MATCH(orders!K$1,Product!$A$1:$G$1,0))</f>
        <v>0.5</v>
      </c>
      <c r="L759" s="5">
        <f>INDEX(Product!$A$1:$G$49,MATCH(orders!$D759,Product!$A$1:$A$49,0),MATCH(orders!L$1,Product!$A$1:$G$1,0))</f>
        <v>5.97</v>
      </c>
      <c r="M759" s="5">
        <f t="shared" si="11"/>
        <v>17.91</v>
      </c>
      <c r="N759" t="str" cm="1">
        <f t="array" ref="N759">_xlfn.IFS(I759="Rob", "Robusta", I759="Exc", "Excelsa", I759="Ara", "Arabica", I759="Lib", "Liberica", TRUE, "")</f>
        <v>Arabica</v>
      </c>
      <c r="O759" t="str" cm="1">
        <f t="array" ref="O759">_xlfn.IFS(J759="M", "Medium", J759="L", "Light", J759="D", "Dark", TRUE, "")</f>
        <v>Dark</v>
      </c>
      <c r="P759" t="str">
        <f>_xlfn.XLOOKUP(Table1[[#This Row],[Customer ID]], customers!$A$1:$A$1001, customers!$I$1:$I$1001,, 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INDEX(Product!$A$1:$G$49,MATCH(orders!$D760,Product!$A$1:$A$49,0),MATCH(orders!I$1,Product!$A$1:$G$1,0))</f>
        <v>Rob</v>
      </c>
      <c r="J760" t="str">
        <f>INDEX(Product!$A$1:$G$49,MATCH(orders!$D760,Product!$A$1:$A$49,0),MATCH(orders!J$1,Product!$A$1:$G$1,0))</f>
        <v>D</v>
      </c>
      <c r="K760" s="4">
        <f>INDEX(Product!$A$1:$G$49,MATCH(orders!$D760,Product!$A$1:$A$49,0),MATCH(orders!K$1,Product!$A$1:$G$1,0))</f>
        <v>1</v>
      </c>
      <c r="L760" s="5">
        <f>INDEX(Product!$A$1:$G$49,MATCH(orders!$D760,Product!$A$1:$A$49,0),MATCH(orders!L$1,Product!$A$1:$G$1,0))</f>
        <v>8.9499999999999993</v>
      </c>
      <c r="M760" s="5">
        <f t="shared" si="11"/>
        <v>8.9499999999999993</v>
      </c>
      <c r="N760" t="str" cm="1">
        <f t="array" ref="N760">_xlfn.IFS(I760="Rob", "Robusta", I760="Exc", "Excelsa", I760="Ara", "Arabica", I760="Lib", "Liberica", TRUE, "")</f>
        <v>Robusta</v>
      </c>
      <c r="O760" t="str" cm="1">
        <f t="array" ref="O760">_xlfn.IFS(J760="M", "Medium", J760="L", "Light", J760="D", "Dark", TRUE, "")</f>
        <v>Dark</v>
      </c>
      <c r="P760" t="str">
        <f>_xlfn.XLOOKUP(Table1[[#This Row],[Customer ID]], customers!$A$1:$A$1001, customers!$I$1:$I$1001,, 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INDEX(Product!$A$1:$G$49,MATCH(orders!$D761,Product!$A$1:$A$49,0),MATCH(orders!I$1,Product!$A$1:$G$1,0))</f>
        <v>Lib</v>
      </c>
      <c r="J761" t="str">
        <f>INDEX(Product!$A$1:$G$49,MATCH(orders!$D761,Product!$A$1:$A$49,0),MATCH(orders!J$1,Product!$A$1:$G$1,0))</f>
        <v>D</v>
      </c>
      <c r="K761" s="4">
        <f>INDEX(Product!$A$1:$G$49,MATCH(orders!$D761,Product!$A$1:$A$49,0),MATCH(orders!K$1,Product!$A$1:$G$1,0))</f>
        <v>2.5</v>
      </c>
      <c r="L761" s="5">
        <f>INDEX(Product!$A$1:$G$49,MATCH(orders!$D761,Product!$A$1:$A$49,0),MATCH(orders!L$1,Product!$A$1:$G$1,0))</f>
        <v>29.784999999999997</v>
      </c>
      <c r="M761" s="5">
        <f t="shared" si="11"/>
        <v>29.784999999999997</v>
      </c>
      <c r="N761" t="str" cm="1">
        <f t="array" ref="N761">_xlfn.IFS(I761="Rob", "Robusta", I761="Exc", "Excelsa", I761="Ara", "Arabica", I761="Lib", "Liberica", TRUE, "")</f>
        <v>Liberica</v>
      </c>
      <c r="O761" t="str" cm="1">
        <f t="array" ref="O761">_xlfn.IFS(J761="M", "Medium", J761="L", "Light", J761="D", "Dark", TRUE, "")</f>
        <v>Dark</v>
      </c>
      <c r="P761" t="str">
        <f>_xlfn.XLOOKUP(Table1[[#This Row],[Customer ID]], customers!$A$1:$A$1001, customers!$I$1:$I$1001,, 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INDEX(Product!$A$1:$G$49,MATCH(orders!$D762,Product!$A$1:$A$49,0),MATCH(orders!I$1,Product!$A$1:$G$1,0))</f>
        <v>Exc</v>
      </c>
      <c r="J762" t="str">
        <f>INDEX(Product!$A$1:$G$49,MATCH(orders!$D762,Product!$A$1:$A$49,0),MATCH(orders!J$1,Product!$A$1:$G$1,0))</f>
        <v>L</v>
      </c>
      <c r="K762" s="4">
        <f>INDEX(Product!$A$1:$G$49,MATCH(orders!$D762,Product!$A$1:$A$49,0),MATCH(orders!K$1,Product!$A$1:$G$1,0))</f>
        <v>0.5</v>
      </c>
      <c r="L762" s="5">
        <f>INDEX(Product!$A$1:$G$49,MATCH(orders!$D762,Product!$A$1:$A$49,0),MATCH(orders!L$1,Product!$A$1:$G$1,0))</f>
        <v>8.91</v>
      </c>
      <c r="M762" s="5">
        <f t="shared" si="11"/>
        <v>44.55</v>
      </c>
      <c r="N762" t="str" cm="1">
        <f t="array" ref="N762">_xlfn.IFS(I762="Rob", "Robusta", I762="Exc", "Excelsa", I762="Ara", "Arabica", I762="Lib", "Liberica", TRUE, "")</f>
        <v>Excelsa</v>
      </c>
      <c r="O762" t="str" cm="1">
        <f t="array" ref="O762">_xlfn.IFS(J762="M", "Medium", J762="L", "Light", J762="D", "Dark", TRUE, "")</f>
        <v>Light</v>
      </c>
      <c r="P762" t="str">
        <f>_xlfn.XLOOKUP(Table1[[#This Row],[Customer ID]], customers!$A$1:$A$1001, customers!$I$1:$I$1001,, 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INDEX(Product!$A$1:$G$49,MATCH(orders!$D763,Product!$A$1:$A$49,0),MATCH(orders!I$1,Product!$A$1:$G$1,0))</f>
        <v>Exc</v>
      </c>
      <c r="J763" t="str">
        <f>INDEX(Product!$A$1:$G$49,MATCH(orders!$D763,Product!$A$1:$A$49,0),MATCH(orders!J$1,Product!$A$1:$G$1,0))</f>
        <v>L</v>
      </c>
      <c r="K763" s="4">
        <f>INDEX(Product!$A$1:$G$49,MATCH(orders!$D763,Product!$A$1:$A$49,0),MATCH(orders!K$1,Product!$A$1:$G$1,0))</f>
        <v>1</v>
      </c>
      <c r="L763" s="5">
        <f>INDEX(Product!$A$1:$G$49,MATCH(orders!$D763,Product!$A$1:$A$49,0),MATCH(orders!L$1,Product!$A$1:$G$1,0))</f>
        <v>14.85</v>
      </c>
      <c r="M763" s="5">
        <f t="shared" si="11"/>
        <v>89.1</v>
      </c>
      <c r="N763" t="str" cm="1">
        <f t="array" ref="N763">_xlfn.IFS(I763="Rob", "Robusta", I763="Exc", "Excelsa", I763="Ara", "Arabica", I763="Lib", "Liberica", TRUE, "")</f>
        <v>Excelsa</v>
      </c>
      <c r="O763" t="str" cm="1">
        <f t="array" ref="O763">_xlfn.IFS(J763="M", "Medium", J763="L", "Light", J763="D", "Dark", TRUE, "")</f>
        <v>Light</v>
      </c>
      <c r="P763" t="str">
        <f>_xlfn.XLOOKUP(Table1[[#This Row],[Customer ID]], customers!$A$1:$A$1001, customers!$I$1:$I$1001,, 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INDEX(Product!$A$1:$G$49,MATCH(orders!$D764,Product!$A$1:$A$49,0),MATCH(orders!I$1,Product!$A$1:$G$1,0))</f>
        <v>Lib</v>
      </c>
      <c r="J764" t="str">
        <f>INDEX(Product!$A$1:$G$49,MATCH(orders!$D764,Product!$A$1:$A$49,0),MATCH(orders!J$1,Product!$A$1:$G$1,0))</f>
        <v>M</v>
      </c>
      <c r="K764" s="4">
        <f>INDEX(Product!$A$1:$G$49,MATCH(orders!$D764,Product!$A$1:$A$49,0),MATCH(orders!K$1,Product!$A$1:$G$1,0))</f>
        <v>0.5</v>
      </c>
      <c r="L764" s="5">
        <f>INDEX(Product!$A$1:$G$49,MATCH(orders!$D764,Product!$A$1:$A$49,0),MATCH(orders!L$1,Product!$A$1:$G$1,0))</f>
        <v>8.73</v>
      </c>
      <c r="M764" s="5">
        <f t="shared" si="11"/>
        <v>43.650000000000006</v>
      </c>
      <c r="N764" t="str" cm="1">
        <f t="array" ref="N764">_xlfn.IFS(I764="Rob", "Robusta", I764="Exc", "Excelsa", I764="Ara", "Arabica", I764="Lib", "Liberica", TRUE, "")</f>
        <v>Liberica</v>
      </c>
      <c r="O764" t="str" cm="1">
        <f t="array" ref="O764">_xlfn.IFS(J764="M", "Medium", J764="L", "Light", J764="D", "Dark", TRUE, "")</f>
        <v>Medium</v>
      </c>
      <c r="P764" t="str">
        <f>_xlfn.XLOOKUP(Table1[[#This Row],[Customer ID]], customers!$A$1:$A$1001, customers!$I$1:$I$1001,, 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INDEX(Product!$A$1:$G$49,MATCH(orders!$D765,Product!$A$1:$A$49,0),MATCH(orders!I$1,Product!$A$1:$G$1,0))</f>
        <v>Ara</v>
      </c>
      <c r="J765" t="str">
        <f>INDEX(Product!$A$1:$G$49,MATCH(orders!$D765,Product!$A$1:$A$49,0),MATCH(orders!J$1,Product!$A$1:$G$1,0))</f>
        <v>L</v>
      </c>
      <c r="K765" s="4">
        <f>INDEX(Product!$A$1:$G$49,MATCH(orders!$D765,Product!$A$1:$A$49,0),MATCH(orders!K$1,Product!$A$1:$G$1,0))</f>
        <v>0.5</v>
      </c>
      <c r="L765" s="5">
        <f>INDEX(Product!$A$1:$G$49,MATCH(orders!$D765,Product!$A$1:$A$49,0),MATCH(orders!L$1,Product!$A$1:$G$1,0))</f>
        <v>7.77</v>
      </c>
      <c r="M765" s="5">
        <f t="shared" si="11"/>
        <v>23.31</v>
      </c>
      <c r="N765" t="str" cm="1">
        <f t="array" ref="N765">_xlfn.IFS(I765="Rob", "Robusta", I765="Exc", "Excelsa", I765="Ara", "Arabica", I765="Lib", "Liberica", TRUE, "")</f>
        <v>Arabica</v>
      </c>
      <c r="O765" t="str" cm="1">
        <f t="array" ref="O765">_xlfn.IFS(J765="M", "Medium", J765="L", "Light", J765="D", "Dark", TRUE, "")</f>
        <v>Light</v>
      </c>
      <c r="P765" t="str">
        <f>_xlfn.XLOOKUP(Table1[[#This Row],[Customer ID]], customers!$A$1:$A$1001, customers!$I$1:$I$1001,, 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INDEX(Product!$A$1:$G$49,MATCH(orders!$D766,Product!$A$1:$A$49,0),MATCH(orders!I$1,Product!$A$1:$G$1,0))</f>
        <v>Ara</v>
      </c>
      <c r="J766" t="str">
        <f>INDEX(Product!$A$1:$G$49,MATCH(orders!$D766,Product!$A$1:$A$49,0),MATCH(orders!J$1,Product!$A$1:$G$1,0))</f>
        <v>L</v>
      </c>
      <c r="K766" s="4">
        <f>INDEX(Product!$A$1:$G$49,MATCH(orders!$D766,Product!$A$1:$A$49,0),MATCH(orders!K$1,Product!$A$1:$G$1,0))</f>
        <v>2.5</v>
      </c>
      <c r="L766" s="5">
        <f>INDEX(Product!$A$1:$G$49,MATCH(orders!$D766,Product!$A$1:$A$49,0),MATCH(orders!L$1,Product!$A$1:$G$1,0))</f>
        <v>29.784999999999997</v>
      </c>
      <c r="M766" s="5">
        <f t="shared" si="11"/>
        <v>178.70999999999998</v>
      </c>
      <c r="N766" t="str" cm="1">
        <f t="array" ref="N766">_xlfn.IFS(I766="Rob", "Robusta", I766="Exc", "Excelsa", I766="Ara", "Arabica", I766="Lib", "Liberica", TRUE, "")</f>
        <v>Arabica</v>
      </c>
      <c r="O766" t="str" cm="1">
        <f t="array" ref="O766">_xlfn.IFS(J766="M", "Medium", J766="L", "Light", J766="D", "Dark", TRUE, "")</f>
        <v>Light</v>
      </c>
      <c r="P766" t="str">
        <f>_xlfn.XLOOKUP(Table1[[#This Row],[Customer ID]], customers!$A$1:$A$1001, customers!$I$1:$I$1001,, 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INDEX(Product!$A$1:$G$49,MATCH(orders!$D767,Product!$A$1:$A$49,0),MATCH(orders!I$1,Product!$A$1:$G$1,0))</f>
        <v>Rob</v>
      </c>
      <c r="J767" t="str">
        <f>INDEX(Product!$A$1:$G$49,MATCH(orders!$D767,Product!$A$1:$A$49,0),MATCH(orders!J$1,Product!$A$1:$G$1,0))</f>
        <v>M</v>
      </c>
      <c r="K767" s="4">
        <f>INDEX(Product!$A$1:$G$49,MATCH(orders!$D767,Product!$A$1:$A$49,0),MATCH(orders!K$1,Product!$A$1:$G$1,0))</f>
        <v>1</v>
      </c>
      <c r="L767" s="5">
        <f>INDEX(Product!$A$1:$G$49,MATCH(orders!$D767,Product!$A$1:$A$49,0),MATCH(orders!L$1,Product!$A$1:$G$1,0))</f>
        <v>9.9499999999999993</v>
      </c>
      <c r="M767" s="5">
        <f t="shared" si="11"/>
        <v>59.699999999999996</v>
      </c>
      <c r="N767" t="str" cm="1">
        <f t="array" ref="N767">_xlfn.IFS(I767="Rob", "Robusta", I767="Exc", "Excelsa", I767="Ara", "Arabica", I767="Lib", "Liberica", TRUE, "")</f>
        <v>Robusta</v>
      </c>
      <c r="O767" t="str" cm="1">
        <f t="array" ref="O767">_xlfn.IFS(J767="M", "Medium", J767="L", "Light", J767="D", "Dark", TRUE, "")</f>
        <v>Medium</v>
      </c>
      <c r="P767" t="str">
        <f>_xlfn.XLOOKUP(Table1[[#This Row],[Customer ID]], customers!$A$1:$A$1001, customers!$I$1:$I$1001,, 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INDEX(Product!$A$1:$G$49,MATCH(orders!$D768,Product!$A$1:$A$49,0),MATCH(orders!I$1,Product!$A$1:$G$1,0))</f>
        <v>Ara</v>
      </c>
      <c r="J768" t="str">
        <f>INDEX(Product!$A$1:$G$49,MATCH(orders!$D768,Product!$A$1:$A$49,0),MATCH(orders!J$1,Product!$A$1:$G$1,0))</f>
        <v>L</v>
      </c>
      <c r="K768" s="4">
        <f>INDEX(Product!$A$1:$G$49,MATCH(orders!$D768,Product!$A$1:$A$49,0),MATCH(orders!K$1,Product!$A$1:$G$1,0))</f>
        <v>0.5</v>
      </c>
      <c r="L768" s="5">
        <f>INDEX(Product!$A$1:$G$49,MATCH(orders!$D768,Product!$A$1:$A$49,0),MATCH(orders!L$1,Product!$A$1:$G$1,0))</f>
        <v>7.77</v>
      </c>
      <c r="M768" s="5">
        <f t="shared" si="11"/>
        <v>15.54</v>
      </c>
      <c r="N768" t="str" cm="1">
        <f t="array" ref="N768">_xlfn.IFS(I768="Rob", "Robusta", I768="Exc", "Excelsa", I768="Ara", "Arabica", I768="Lib", "Liberica", TRUE, "")</f>
        <v>Arabica</v>
      </c>
      <c r="O768" t="str" cm="1">
        <f t="array" ref="O768">_xlfn.IFS(J768="M", "Medium", J768="L", "Light", J768="D", "Dark", TRUE, "")</f>
        <v>Light</v>
      </c>
      <c r="P768" t="str">
        <f>_xlfn.XLOOKUP(Table1[[#This Row],[Customer ID]], customers!$A$1:$A$1001, customers!$I$1:$I$1001,, 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INDEX(Product!$A$1:$G$49,MATCH(orders!$D769,Product!$A$1:$A$49,0),MATCH(orders!I$1,Product!$A$1:$G$1,0))</f>
        <v>Ara</v>
      </c>
      <c r="J769" t="str">
        <f>INDEX(Product!$A$1:$G$49,MATCH(orders!$D769,Product!$A$1:$A$49,0),MATCH(orders!J$1,Product!$A$1:$G$1,0))</f>
        <v>L</v>
      </c>
      <c r="K769" s="4">
        <f>INDEX(Product!$A$1:$G$49,MATCH(orders!$D769,Product!$A$1:$A$49,0),MATCH(orders!K$1,Product!$A$1:$G$1,0))</f>
        <v>2.5</v>
      </c>
      <c r="L769" s="5">
        <f>INDEX(Product!$A$1:$G$49,MATCH(orders!$D769,Product!$A$1:$A$49,0),MATCH(orders!L$1,Product!$A$1:$G$1,0))</f>
        <v>29.784999999999997</v>
      </c>
      <c r="M769" s="5">
        <f t="shared" si="11"/>
        <v>89.35499999999999</v>
      </c>
      <c r="N769" t="str" cm="1">
        <f t="array" ref="N769">_xlfn.IFS(I769="Rob", "Robusta", I769="Exc", "Excelsa", I769="Ara", "Arabica", I769="Lib", "Liberica", TRUE, "")</f>
        <v>Arabica</v>
      </c>
      <c r="O769" t="str" cm="1">
        <f t="array" ref="O769">_xlfn.IFS(J769="M", "Medium", J769="L", "Light", J769="D", "Dark", TRUE, "")</f>
        <v>Light</v>
      </c>
      <c r="P769" t="str">
        <f>_xlfn.XLOOKUP(Table1[[#This Row],[Customer ID]], customers!$A$1:$A$1001, customers!$I$1:$I$1001,, 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INDEX(Product!$A$1:$G$49,MATCH(orders!$D770,Product!$A$1:$A$49,0),MATCH(orders!I$1,Product!$A$1:$G$1,0))</f>
        <v>Rob</v>
      </c>
      <c r="J770" t="str">
        <f>INDEX(Product!$A$1:$G$49,MATCH(orders!$D770,Product!$A$1:$A$49,0),MATCH(orders!J$1,Product!$A$1:$G$1,0))</f>
        <v>L</v>
      </c>
      <c r="K770" s="4">
        <f>INDEX(Product!$A$1:$G$49,MATCH(orders!$D770,Product!$A$1:$A$49,0),MATCH(orders!K$1,Product!$A$1:$G$1,0))</f>
        <v>1</v>
      </c>
      <c r="L770" s="5">
        <f>INDEX(Product!$A$1:$G$49,MATCH(orders!$D770,Product!$A$1:$A$49,0),MATCH(orders!L$1,Product!$A$1:$G$1,0))</f>
        <v>11.95</v>
      </c>
      <c r="M770" s="5">
        <f t="shared" ref="M770:M833" si="12">L770*E770</f>
        <v>23.9</v>
      </c>
      <c r="N770" t="str" cm="1">
        <f t="array" ref="N770">_xlfn.IFS(I770="Rob", "Robusta", I770="Exc", "Excelsa", I770="Ara", "Arabica", I770="Lib", "Liberica", TRUE, "")</f>
        <v>Robusta</v>
      </c>
      <c r="O770" t="str" cm="1">
        <f t="array" ref="O770">_xlfn.IFS(J770="M", "Medium", J770="L", "Light", J770="D", "Dark", TRUE, "")</f>
        <v>Light</v>
      </c>
      <c r="P770" t="str">
        <f>_xlfn.XLOOKUP(Table1[[#This Row],[Customer ID]], customers!$A$1:$A$1001, customers!$I$1:$I$1001,, 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INDEX(Product!$A$1:$G$49,MATCH(orders!$D771,Product!$A$1:$A$49,0),MATCH(orders!I$1,Product!$A$1:$G$1,0))</f>
        <v>Rob</v>
      </c>
      <c r="J771" t="str">
        <f>INDEX(Product!$A$1:$G$49,MATCH(orders!$D771,Product!$A$1:$A$49,0),MATCH(orders!J$1,Product!$A$1:$G$1,0))</f>
        <v>M</v>
      </c>
      <c r="K771" s="4">
        <f>INDEX(Product!$A$1:$G$49,MATCH(orders!$D771,Product!$A$1:$A$49,0),MATCH(orders!K$1,Product!$A$1:$G$1,0))</f>
        <v>2.5</v>
      </c>
      <c r="L771" s="5">
        <f>INDEX(Product!$A$1:$G$49,MATCH(orders!$D771,Product!$A$1:$A$49,0),MATCH(orders!L$1,Product!$A$1:$G$1,0))</f>
        <v>22.884999999999998</v>
      </c>
      <c r="M771" s="5">
        <f t="shared" si="12"/>
        <v>137.31</v>
      </c>
      <c r="N771" t="str" cm="1">
        <f t="array" ref="N771">_xlfn.IFS(I771="Rob", "Robusta", I771="Exc", "Excelsa", I771="Ara", "Arabica", I771="Lib", "Liberica", TRUE, "")</f>
        <v>Robusta</v>
      </c>
      <c r="O771" t="str" cm="1">
        <f t="array" ref="O771">_xlfn.IFS(J771="M", "Medium", J771="L", "Light", J771="D", "Dark", TRUE, "")</f>
        <v>Medium</v>
      </c>
      <c r="P771" t="str">
        <f>_xlfn.XLOOKUP(Table1[[#This Row],[Customer ID]], customers!$A$1:$A$1001, customers!$I$1:$I$1001,, 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INDEX(Product!$A$1:$G$49,MATCH(orders!$D772,Product!$A$1:$A$49,0),MATCH(orders!I$1,Product!$A$1:$G$1,0))</f>
        <v>Ara</v>
      </c>
      <c r="J772" t="str">
        <f>INDEX(Product!$A$1:$G$49,MATCH(orders!$D772,Product!$A$1:$A$49,0),MATCH(orders!J$1,Product!$A$1:$G$1,0))</f>
        <v>D</v>
      </c>
      <c r="K772" s="4">
        <f>INDEX(Product!$A$1:$G$49,MATCH(orders!$D772,Product!$A$1:$A$49,0),MATCH(orders!K$1,Product!$A$1:$G$1,0))</f>
        <v>1</v>
      </c>
      <c r="L772" s="5">
        <f>INDEX(Product!$A$1:$G$49,MATCH(orders!$D772,Product!$A$1:$A$49,0),MATCH(orders!L$1,Product!$A$1:$G$1,0))</f>
        <v>9.9499999999999993</v>
      </c>
      <c r="M772" s="5">
        <f t="shared" si="12"/>
        <v>9.9499999999999993</v>
      </c>
      <c r="N772" t="str" cm="1">
        <f t="array" ref="N772">_xlfn.IFS(I772="Rob", "Robusta", I772="Exc", "Excelsa", I772="Ara", "Arabica", I772="Lib", "Liberica", TRUE, "")</f>
        <v>Arabica</v>
      </c>
      <c r="O772" t="str" cm="1">
        <f t="array" ref="O772">_xlfn.IFS(J772="M", "Medium", J772="L", "Light", J772="D", "Dark", TRUE, "")</f>
        <v>Dark</v>
      </c>
      <c r="P772" t="str">
        <f>_xlfn.XLOOKUP(Table1[[#This Row],[Customer ID]], customers!$A$1:$A$1001, customers!$I$1:$I$1001,, 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INDEX(Product!$A$1:$G$49,MATCH(orders!$D773,Product!$A$1:$A$49,0),MATCH(orders!I$1,Product!$A$1:$G$1,0))</f>
        <v>Rob</v>
      </c>
      <c r="J773" t="str">
        <f>INDEX(Product!$A$1:$G$49,MATCH(orders!$D773,Product!$A$1:$A$49,0),MATCH(orders!J$1,Product!$A$1:$G$1,0))</f>
        <v>L</v>
      </c>
      <c r="K773" s="4">
        <f>INDEX(Product!$A$1:$G$49,MATCH(orders!$D773,Product!$A$1:$A$49,0),MATCH(orders!K$1,Product!$A$1:$G$1,0))</f>
        <v>0.5</v>
      </c>
      <c r="L773" s="5">
        <f>INDEX(Product!$A$1:$G$49,MATCH(orders!$D773,Product!$A$1:$A$49,0),MATCH(orders!L$1,Product!$A$1:$G$1,0))</f>
        <v>7.169999999999999</v>
      </c>
      <c r="M773" s="5">
        <f t="shared" si="12"/>
        <v>21.509999999999998</v>
      </c>
      <c r="N773" t="str" cm="1">
        <f t="array" ref="N773">_xlfn.IFS(I773="Rob", "Robusta", I773="Exc", "Excelsa", I773="Ara", "Arabica", I773="Lib", "Liberica", TRUE, "")</f>
        <v>Robusta</v>
      </c>
      <c r="O773" t="str" cm="1">
        <f t="array" ref="O773">_xlfn.IFS(J773="M", "Medium", J773="L", "Light", J773="D", "Dark", TRUE, "")</f>
        <v>Light</v>
      </c>
      <c r="P773" t="str">
        <f>_xlfn.XLOOKUP(Table1[[#This Row],[Customer ID]], customers!$A$1:$A$1001, customers!$I$1:$I$1001,, 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INDEX(Product!$A$1:$G$49,MATCH(orders!$D774,Product!$A$1:$A$49,0),MATCH(orders!I$1,Product!$A$1:$G$1,0))</f>
        <v>Exc</v>
      </c>
      <c r="J774" t="str">
        <f>INDEX(Product!$A$1:$G$49,MATCH(orders!$D774,Product!$A$1:$A$49,0),MATCH(orders!J$1,Product!$A$1:$G$1,0))</f>
        <v>M</v>
      </c>
      <c r="K774" s="4">
        <f>INDEX(Product!$A$1:$G$49,MATCH(orders!$D774,Product!$A$1:$A$49,0),MATCH(orders!K$1,Product!$A$1:$G$1,0))</f>
        <v>1</v>
      </c>
      <c r="L774" s="5">
        <f>INDEX(Product!$A$1:$G$49,MATCH(orders!$D774,Product!$A$1:$A$49,0),MATCH(orders!L$1,Product!$A$1:$G$1,0))</f>
        <v>13.75</v>
      </c>
      <c r="M774" s="5">
        <f t="shared" si="12"/>
        <v>82.5</v>
      </c>
      <c r="N774" t="str" cm="1">
        <f t="array" ref="N774">_xlfn.IFS(I774="Rob", "Robusta", I774="Exc", "Excelsa", I774="Ara", "Arabica", I774="Lib", "Liberica", TRUE, "")</f>
        <v>Excelsa</v>
      </c>
      <c r="O774" t="str" cm="1">
        <f t="array" ref="O774">_xlfn.IFS(J774="M", "Medium", J774="L", "Light", J774="D", "Dark", TRUE, "")</f>
        <v>Medium</v>
      </c>
      <c r="P774" t="str">
        <f>_xlfn.XLOOKUP(Table1[[#This Row],[Customer ID]], customers!$A$1:$A$1001, customers!$I$1:$I$1001,, 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INDEX(Product!$A$1:$G$49,MATCH(orders!$D775,Product!$A$1:$A$49,0),MATCH(orders!I$1,Product!$A$1:$G$1,0))</f>
        <v>Lib</v>
      </c>
      <c r="J775" t="str">
        <f>INDEX(Product!$A$1:$G$49,MATCH(orders!$D775,Product!$A$1:$A$49,0),MATCH(orders!J$1,Product!$A$1:$G$1,0))</f>
        <v>M</v>
      </c>
      <c r="K775" s="4">
        <f>INDEX(Product!$A$1:$G$49,MATCH(orders!$D775,Product!$A$1:$A$49,0),MATCH(orders!K$1,Product!$A$1:$G$1,0))</f>
        <v>0.2</v>
      </c>
      <c r="L775" s="5">
        <f>INDEX(Product!$A$1:$G$49,MATCH(orders!$D775,Product!$A$1:$A$49,0),MATCH(orders!L$1,Product!$A$1:$G$1,0))</f>
        <v>4.3650000000000002</v>
      </c>
      <c r="M775" s="5">
        <f t="shared" si="12"/>
        <v>8.73</v>
      </c>
      <c r="N775" t="str" cm="1">
        <f t="array" ref="N775">_xlfn.IFS(I775="Rob", "Robusta", I775="Exc", "Excelsa", I775="Ara", "Arabica", I775="Lib", "Liberica", TRUE, "")</f>
        <v>Liberica</v>
      </c>
      <c r="O775" t="str" cm="1">
        <f t="array" ref="O775">_xlfn.IFS(J775="M", "Medium", J775="L", "Light", J775="D", "Dark", TRUE, "")</f>
        <v>Medium</v>
      </c>
      <c r="P775" t="str">
        <f>_xlfn.XLOOKUP(Table1[[#This Row],[Customer ID]], customers!$A$1:$A$1001, customers!$I$1:$I$1001,, 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INDEX(Product!$A$1:$G$49,MATCH(orders!$D776,Product!$A$1:$A$49,0),MATCH(orders!I$1,Product!$A$1:$G$1,0))</f>
        <v>Rob</v>
      </c>
      <c r="J776" t="str">
        <f>INDEX(Product!$A$1:$G$49,MATCH(orders!$D776,Product!$A$1:$A$49,0),MATCH(orders!J$1,Product!$A$1:$G$1,0))</f>
        <v>M</v>
      </c>
      <c r="K776" s="4">
        <f>INDEX(Product!$A$1:$G$49,MATCH(orders!$D776,Product!$A$1:$A$49,0),MATCH(orders!K$1,Product!$A$1:$G$1,0))</f>
        <v>1</v>
      </c>
      <c r="L776" s="5">
        <f>INDEX(Product!$A$1:$G$49,MATCH(orders!$D776,Product!$A$1:$A$49,0),MATCH(orders!L$1,Product!$A$1:$G$1,0))</f>
        <v>9.9499999999999993</v>
      </c>
      <c r="M776" s="5">
        <f t="shared" si="12"/>
        <v>19.899999999999999</v>
      </c>
      <c r="N776" t="str" cm="1">
        <f t="array" ref="N776">_xlfn.IFS(I776="Rob", "Robusta", I776="Exc", "Excelsa", I776="Ara", "Arabica", I776="Lib", "Liberica", TRUE, "")</f>
        <v>Robusta</v>
      </c>
      <c r="O776" t="str" cm="1">
        <f t="array" ref="O776">_xlfn.IFS(J776="M", "Medium", J776="L", "Light", J776="D", "Dark", TRUE, "")</f>
        <v>Medium</v>
      </c>
      <c r="P776" t="str">
        <f>_xlfn.XLOOKUP(Table1[[#This Row],[Customer ID]], customers!$A$1:$A$1001, customers!$I$1:$I$1001,, 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INDEX(Product!$A$1:$G$49,MATCH(orders!$D777,Product!$A$1:$A$49,0),MATCH(orders!I$1,Product!$A$1:$G$1,0))</f>
        <v>Exc</v>
      </c>
      <c r="J777" t="str">
        <f>INDEX(Product!$A$1:$G$49,MATCH(orders!$D777,Product!$A$1:$A$49,0),MATCH(orders!J$1,Product!$A$1:$G$1,0))</f>
        <v>L</v>
      </c>
      <c r="K777" s="4">
        <f>INDEX(Product!$A$1:$G$49,MATCH(orders!$D777,Product!$A$1:$A$49,0),MATCH(orders!K$1,Product!$A$1:$G$1,0))</f>
        <v>0.5</v>
      </c>
      <c r="L777" s="5">
        <f>INDEX(Product!$A$1:$G$49,MATCH(orders!$D777,Product!$A$1:$A$49,0),MATCH(orders!L$1,Product!$A$1:$G$1,0))</f>
        <v>8.91</v>
      </c>
      <c r="M777" s="5">
        <f t="shared" si="12"/>
        <v>17.82</v>
      </c>
      <c r="N777" t="str" cm="1">
        <f t="array" ref="N777">_xlfn.IFS(I777="Rob", "Robusta", I777="Exc", "Excelsa", I777="Ara", "Arabica", I777="Lib", "Liberica", TRUE, "")</f>
        <v>Excelsa</v>
      </c>
      <c r="O777" t="str" cm="1">
        <f t="array" ref="O777">_xlfn.IFS(J777="M", "Medium", J777="L", "Light", J777="D", "Dark", TRUE, "")</f>
        <v>Light</v>
      </c>
      <c r="P777" t="str">
        <f>_xlfn.XLOOKUP(Table1[[#This Row],[Customer ID]], customers!$A$1:$A$1001, customers!$I$1:$I$1001,, 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INDEX(Product!$A$1:$G$49,MATCH(orders!$D778,Product!$A$1:$A$49,0),MATCH(orders!I$1,Product!$A$1:$G$1,0))</f>
        <v>Ara</v>
      </c>
      <c r="J778" t="str">
        <f>INDEX(Product!$A$1:$G$49,MATCH(orders!$D778,Product!$A$1:$A$49,0),MATCH(orders!J$1,Product!$A$1:$G$1,0))</f>
        <v>M</v>
      </c>
      <c r="K778" s="4">
        <f>INDEX(Product!$A$1:$G$49,MATCH(orders!$D778,Product!$A$1:$A$49,0),MATCH(orders!K$1,Product!$A$1:$G$1,0))</f>
        <v>0.5</v>
      </c>
      <c r="L778" s="5">
        <f>INDEX(Product!$A$1:$G$49,MATCH(orders!$D778,Product!$A$1:$A$49,0),MATCH(orders!L$1,Product!$A$1:$G$1,0))</f>
        <v>6.75</v>
      </c>
      <c r="M778" s="5">
        <f t="shared" si="12"/>
        <v>20.25</v>
      </c>
      <c r="N778" t="str" cm="1">
        <f t="array" ref="N778">_xlfn.IFS(I778="Rob", "Robusta", I778="Exc", "Excelsa", I778="Ara", "Arabica", I778="Lib", "Liberica", TRUE, "")</f>
        <v>Arabica</v>
      </c>
      <c r="O778" t="str" cm="1">
        <f t="array" ref="O778">_xlfn.IFS(J778="M", "Medium", J778="L", "Light", J778="D", "Dark", TRUE, "")</f>
        <v>Medium</v>
      </c>
      <c r="P778" t="str">
        <f>_xlfn.XLOOKUP(Table1[[#This Row],[Customer ID]], customers!$A$1:$A$1001, customers!$I$1:$I$1001,, 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INDEX(Product!$A$1:$G$49,MATCH(orders!$D779,Product!$A$1:$A$49,0),MATCH(orders!I$1,Product!$A$1:$G$1,0))</f>
        <v>Ara</v>
      </c>
      <c r="J779" t="str">
        <f>INDEX(Product!$A$1:$G$49,MATCH(orders!$D779,Product!$A$1:$A$49,0),MATCH(orders!J$1,Product!$A$1:$G$1,0))</f>
        <v>L</v>
      </c>
      <c r="K779" s="4">
        <f>INDEX(Product!$A$1:$G$49,MATCH(orders!$D779,Product!$A$1:$A$49,0),MATCH(orders!K$1,Product!$A$1:$G$1,0))</f>
        <v>2.5</v>
      </c>
      <c r="L779" s="5">
        <f>INDEX(Product!$A$1:$G$49,MATCH(orders!$D779,Product!$A$1:$A$49,0),MATCH(orders!L$1,Product!$A$1:$G$1,0))</f>
        <v>29.784999999999997</v>
      </c>
      <c r="M779" s="5">
        <f t="shared" si="12"/>
        <v>59.569999999999993</v>
      </c>
      <c r="N779" t="str" cm="1">
        <f t="array" ref="N779">_xlfn.IFS(I779="Rob", "Robusta", I779="Exc", "Excelsa", I779="Ara", "Arabica", I779="Lib", "Liberica", TRUE, "")</f>
        <v>Arabica</v>
      </c>
      <c r="O779" t="str" cm="1">
        <f t="array" ref="O779">_xlfn.IFS(J779="M", "Medium", J779="L", "Light", J779="D", "Dark", TRUE, "")</f>
        <v>Light</v>
      </c>
      <c r="P779" t="str">
        <f>_xlfn.XLOOKUP(Table1[[#This Row],[Customer ID]], customers!$A$1:$A$1001, customers!$I$1:$I$1001,, 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INDEX(Product!$A$1:$G$49,MATCH(orders!$D780,Product!$A$1:$A$49,0),MATCH(orders!I$1,Product!$A$1:$G$1,0))</f>
        <v>Lib</v>
      </c>
      <c r="J780" t="str">
        <f>INDEX(Product!$A$1:$G$49,MATCH(orders!$D780,Product!$A$1:$A$49,0),MATCH(orders!J$1,Product!$A$1:$G$1,0))</f>
        <v>L</v>
      </c>
      <c r="K780" s="4">
        <f>INDEX(Product!$A$1:$G$49,MATCH(orders!$D780,Product!$A$1:$A$49,0),MATCH(orders!K$1,Product!$A$1:$G$1,0))</f>
        <v>0.5</v>
      </c>
      <c r="L780" s="5">
        <f>INDEX(Product!$A$1:$G$49,MATCH(orders!$D780,Product!$A$1:$A$49,0),MATCH(orders!L$1,Product!$A$1:$G$1,0))</f>
        <v>9.51</v>
      </c>
      <c r="M780" s="5">
        <f t="shared" si="12"/>
        <v>19.02</v>
      </c>
      <c r="N780" t="str" cm="1">
        <f t="array" ref="N780">_xlfn.IFS(I780="Rob", "Robusta", I780="Exc", "Excelsa", I780="Ara", "Arabica", I780="Lib", "Liberica", TRUE, "")</f>
        <v>Liberica</v>
      </c>
      <c r="O780" t="str" cm="1">
        <f t="array" ref="O780">_xlfn.IFS(J780="M", "Medium", J780="L", "Light", J780="D", "Dark", TRUE, "")</f>
        <v>Light</v>
      </c>
      <c r="P780" t="str">
        <f>_xlfn.XLOOKUP(Table1[[#This Row],[Customer ID]], customers!$A$1:$A$1001, customers!$I$1:$I$1001,, 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INDEX(Product!$A$1:$G$49,MATCH(orders!$D781,Product!$A$1:$A$49,0),MATCH(orders!I$1,Product!$A$1:$G$1,0))</f>
        <v>Lib</v>
      </c>
      <c r="J781" t="str">
        <f>INDEX(Product!$A$1:$G$49,MATCH(orders!$D781,Product!$A$1:$A$49,0),MATCH(orders!J$1,Product!$A$1:$G$1,0))</f>
        <v>D</v>
      </c>
      <c r="K781" s="4">
        <f>INDEX(Product!$A$1:$G$49,MATCH(orders!$D781,Product!$A$1:$A$49,0),MATCH(orders!K$1,Product!$A$1:$G$1,0))</f>
        <v>1</v>
      </c>
      <c r="L781" s="5">
        <f>INDEX(Product!$A$1:$G$49,MATCH(orders!$D781,Product!$A$1:$A$49,0),MATCH(orders!L$1,Product!$A$1:$G$1,0))</f>
        <v>12.95</v>
      </c>
      <c r="M781" s="5">
        <f t="shared" si="12"/>
        <v>77.699999999999989</v>
      </c>
      <c r="N781" t="str" cm="1">
        <f t="array" ref="N781">_xlfn.IFS(I781="Rob", "Robusta", I781="Exc", "Excelsa", I781="Ara", "Arabica", I781="Lib", "Liberica", TRUE, "")</f>
        <v>Liberica</v>
      </c>
      <c r="O781" t="str" cm="1">
        <f t="array" ref="O781">_xlfn.IFS(J781="M", "Medium", J781="L", "Light", J781="D", "Dark", TRUE, "")</f>
        <v>Dark</v>
      </c>
      <c r="P781" t="str">
        <f>_xlfn.XLOOKUP(Table1[[#This Row],[Customer ID]], customers!$A$1:$A$1001, customers!$I$1:$I$1001,, 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INDEX(Product!$A$1:$G$49,MATCH(orders!$D782,Product!$A$1:$A$49,0),MATCH(orders!I$1,Product!$A$1:$G$1,0))</f>
        <v>Exc</v>
      </c>
      <c r="J782" t="str">
        <f>INDEX(Product!$A$1:$G$49,MATCH(orders!$D782,Product!$A$1:$A$49,0),MATCH(orders!J$1,Product!$A$1:$G$1,0))</f>
        <v>M</v>
      </c>
      <c r="K782" s="4">
        <f>INDEX(Product!$A$1:$G$49,MATCH(orders!$D782,Product!$A$1:$A$49,0),MATCH(orders!K$1,Product!$A$1:$G$1,0))</f>
        <v>1</v>
      </c>
      <c r="L782" s="5">
        <f>INDEX(Product!$A$1:$G$49,MATCH(orders!$D782,Product!$A$1:$A$49,0),MATCH(orders!L$1,Product!$A$1:$G$1,0))</f>
        <v>13.75</v>
      </c>
      <c r="M782" s="5">
        <f t="shared" si="12"/>
        <v>41.25</v>
      </c>
      <c r="N782" t="str" cm="1">
        <f t="array" ref="N782">_xlfn.IFS(I782="Rob", "Robusta", I782="Exc", "Excelsa", I782="Ara", "Arabica", I782="Lib", "Liberica", TRUE, "")</f>
        <v>Excelsa</v>
      </c>
      <c r="O782" t="str" cm="1">
        <f t="array" ref="O782">_xlfn.IFS(J782="M", "Medium", J782="L", "Light", J782="D", "Dark", TRUE, "")</f>
        <v>Medium</v>
      </c>
      <c r="P782" t="str">
        <f>_xlfn.XLOOKUP(Table1[[#This Row],[Customer ID]], customers!$A$1:$A$1001, customers!$I$1:$I$1001,, 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INDEX(Product!$A$1:$G$49,MATCH(orders!$D783,Product!$A$1:$A$49,0),MATCH(orders!I$1,Product!$A$1:$G$1,0))</f>
        <v>Lib</v>
      </c>
      <c r="J783" t="str">
        <f>INDEX(Product!$A$1:$G$49,MATCH(orders!$D783,Product!$A$1:$A$49,0),MATCH(orders!J$1,Product!$A$1:$G$1,0))</f>
        <v>L</v>
      </c>
      <c r="K783" s="4">
        <f>INDEX(Product!$A$1:$G$49,MATCH(orders!$D783,Product!$A$1:$A$49,0),MATCH(orders!K$1,Product!$A$1:$G$1,0))</f>
        <v>2.5</v>
      </c>
      <c r="L783" s="5">
        <f>INDEX(Product!$A$1:$G$49,MATCH(orders!$D783,Product!$A$1:$A$49,0),MATCH(orders!L$1,Product!$A$1:$G$1,0))</f>
        <v>36.454999999999998</v>
      </c>
      <c r="M783" s="5">
        <f t="shared" si="12"/>
        <v>145.82</v>
      </c>
      <c r="N783" t="str" cm="1">
        <f t="array" ref="N783">_xlfn.IFS(I783="Rob", "Robusta", I783="Exc", "Excelsa", I783="Ara", "Arabica", I783="Lib", "Liberica", TRUE, "")</f>
        <v>Liberica</v>
      </c>
      <c r="O783" t="str" cm="1">
        <f t="array" ref="O783">_xlfn.IFS(J783="M", "Medium", J783="L", "Light", J783="D", "Dark", TRUE, "")</f>
        <v>Light</v>
      </c>
      <c r="P783" t="str">
        <f>_xlfn.XLOOKUP(Table1[[#This Row],[Customer ID]], customers!$A$1:$A$1001, customers!$I$1:$I$1001,, 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INDEX(Product!$A$1:$G$49,MATCH(orders!$D784,Product!$A$1:$A$49,0),MATCH(orders!I$1,Product!$A$1:$G$1,0))</f>
        <v>Exc</v>
      </c>
      <c r="J784" t="str">
        <f>INDEX(Product!$A$1:$G$49,MATCH(orders!$D784,Product!$A$1:$A$49,0),MATCH(orders!J$1,Product!$A$1:$G$1,0))</f>
        <v>L</v>
      </c>
      <c r="K784" s="4">
        <f>INDEX(Product!$A$1:$G$49,MATCH(orders!$D784,Product!$A$1:$A$49,0),MATCH(orders!K$1,Product!$A$1:$G$1,0))</f>
        <v>0.2</v>
      </c>
      <c r="L784" s="5">
        <f>INDEX(Product!$A$1:$G$49,MATCH(orders!$D784,Product!$A$1:$A$49,0),MATCH(orders!L$1,Product!$A$1:$G$1,0))</f>
        <v>4.4550000000000001</v>
      </c>
      <c r="M784" s="5">
        <f t="shared" si="12"/>
        <v>26.73</v>
      </c>
      <c r="N784" t="str" cm="1">
        <f t="array" ref="N784">_xlfn.IFS(I784="Rob", "Robusta", I784="Exc", "Excelsa", I784="Ara", "Arabica", I784="Lib", "Liberica", TRUE, "")</f>
        <v>Excelsa</v>
      </c>
      <c r="O784" t="str" cm="1">
        <f t="array" ref="O784">_xlfn.IFS(J784="M", "Medium", J784="L", "Light", J784="D", "Dark", TRUE, "")</f>
        <v>Light</v>
      </c>
      <c r="P784" t="str">
        <f>_xlfn.XLOOKUP(Table1[[#This Row],[Customer ID]], customers!$A$1:$A$1001, customers!$I$1:$I$1001,, 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INDEX(Product!$A$1:$G$49,MATCH(orders!$D785,Product!$A$1:$A$49,0),MATCH(orders!I$1,Product!$A$1:$G$1,0))</f>
        <v>Lib</v>
      </c>
      <c r="J785" t="str">
        <f>INDEX(Product!$A$1:$G$49,MATCH(orders!$D785,Product!$A$1:$A$49,0),MATCH(orders!J$1,Product!$A$1:$G$1,0))</f>
        <v>M</v>
      </c>
      <c r="K785" s="4">
        <f>INDEX(Product!$A$1:$G$49,MATCH(orders!$D785,Product!$A$1:$A$49,0),MATCH(orders!K$1,Product!$A$1:$G$1,0))</f>
        <v>0.5</v>
      </c>
      <c r="L785" s="5">
        <f>INDEX(Product!$A$1:$G$49,MATCH(orders!$D785,Product!$A$1:$A$49,0),MATCH(orders!L$1,Product!$A$1:$G$1,0))</f>
        <v>8.73</v>
      </c>
      <c r="M785" s="5">
        <f t="shared" si="12"/>
        <v>43.650000000000006</v>
      </c>
      <c r="N785" t="str" cm="1">
        <f t="array" ref="N785">_xlfn.IFS(I785="Rob", "Robusta", I785="Exc", "Excelsa", I785="Ara", "Arabica", I785="Lib", "Liberica", TRUE, "")</f>
        <v>Liberica</v>
      </c>
      <c r="O785" t="str" cm="1">
        <f t="array" ref="O785">_xlfn.IFS(J785="M", "Medium", J785="L", "Light", J785="D", "Dark", TRUE, "")</f>
        <v>Medium</v>
      </c>
      <c r="P785" t="str">
        <f>_xlfn.XLOOKUP(Table1[[#This Row],[Customer ID]], customers!$A$1:$A$1001, customers!$I$1:$I$1001,, 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INDEX(Product!$A$1:$G$49,MATCH(orders!$D786,Product!$A$1:$A$49,0),MATCH(orders!I$1,Product!$A$1:$G$1,0))</f>
        <v>Lib</v>
      </c>
      <c r="J786" t="str">
        <f>INDEX(Product!$A$1:$G$49,MATCH(orders!$D786,Product!$A$1:$A$49,0),MATCH(orders!J$1,Product!$A$1:$G$1,0))</f>
        <v>L</v>
      </c>
      <c r="K786" s="4">
        <f>INDEX(Product!$A$1:$G$49,MATCH(orders!$D786,Product!$A$1:$A$49,0),MATCH(orders!K$1,Product!$A$1:$G$1,0))</f>
        <v>1</v>
      </c>
      <c r="L786" s="5">
        <f>INDEX(Product!$A$1:$G$49,MATCH(orders!$D786,Product!$A$1:$A$49,0),MATCH(orders!L$1,Product!$A$1:$G$1,0))</f>
        <v>15.85</v>
      </c>
      <c r="M786" s="5">
        <f t="shared" si="12"/>
        <v>31.7</v>
      </c>
      <c r="N786" t="str" cm="1">
        <f t="array" ref="N786">_xlfn.IFS(I786="Rob", "Robusta", I786="Exc", "Excelsa", I786="Ara", "Arabica", I786="Lib", "Liberica", TRUE, "")</f>
        <v>Liberica</v>
      </c>
      <c r="O786" t="str" cm="1">
        <f t="array" ref="O786">_xlfn.IFS(J786="M", "Medium", J786="L", "Light", J786="D", "Dark", TRUE, "")</f>
        <v>Light</v>
      </c>
      <c r="P786" t="str">
        <f>_xlfn.XLOOKUP(Table1[[#This Row],[Customer ID]], customers!$A$1:$A$1001, customers!$I$1:$I$1001,, 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INDEX(Product!$A$1:$G$49,MATCH(orders!$D787,Product!$A$1:$A$49,0),MATCH(orders!I$1,Product!$A$1:$G$1,0))</f>
        <v>Ara</v>
      </c>
      <c r="J787" t="str">
        <f>INDEX(Product!$A$1:$G$49,MATCH(orders!$D787,Product!$A$1:$A$49,0),MATCH(orders!J$1,Product!$A$1:$G$1,0))</f>
        <v>D</v>
      </c>
      <c r="K787" s="4">
        <f>INDEX(Product!$A$1:$G$49,MATCH(orders!$D787,Product!$A$1:$A$49,0),MATCH(orders!K$1,Product!$A$1:$G$1,0))</f>
        <v>2.5</v>
      </c>
      <c r="L787" s="5">
        <f>INDEX(Product!$A$1:$G$49,MATCH(orders!$D787,Product!$A$1:$A$49,0),MATCH(orders!L$1,Product!$A$1:$G$1,0))</f>
        <v>22.884999999999998</v>
      </c>
      <c r="M787" s="5">
        <f t="shared" si="12"/>
        <v>22.884999999999998</v>
      </c>
      <c r="N787" t="str" cm="1">
        <f t="array" ref="N787">_xlfn.IFS(I787="Rob", "Robusta", I787="Exc", "Excelsa", I787="Ara", "Arabica", I787="Lib", "Liberica", TRUE, "")</f>
        <v>Arabica</v>
      </c>
      <c r="O787" t="str" cm="1">
        <f t="array" ref="O787">_xlfn.IFS(J787="M", "Medium", J787="L", "Light", J787="D", "Dark", TRUE, "")</f>
        <v>Dark</v>
      </c>
      <c r="P787" t="str">
        <f>_xlfn.XLOOKUP(Table1[[#This Row],[Customer ID]], customers!$A$1:$A$1001, customers!$I$1:$I$1001,, 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INDEX(Product!$A$1:$G$49,MATCH(orders!$D788,Product!$A$1:$A$49,0),MATCH(orders!I$1,Product!$A$1:$G$1,0))</f>
        <v>Exc</v>
      </c>
      <c r="J788" t="str">
        <f>INDEX(Product!$A$1:$G$49,MATCH(orders!$D788,Product!$A$1:$A$49,0),MATCH(orders!J$1,Product!$A$1:$G$1,0))</f>
        <v>D</v>
      </c>
      <c r="K788" s="4">
        <f>INDEX(Product!$A$1:$G$49,MATCH(orders!$D788,Product!$A$1:$A$49,0),MATCH(orders!K$1,Product!$A$1:$G$1,0))</f>
        <v>2.5</v>
      </c>
      <c r="L788" s="5">
        <f>INDEX(Product!$A$1:$G$49,MATCH(orders!$D788,Product!$A$1:$A$49,0),MATCH(orders!L$1,Product!$A$1:$G$1,0))</f>
        <v>27.945</v>
      </c>
      <c r="M788" s="5">
        <f t="shared" si="12"/>
        <v>27.945</v>
      </c>
      <c r="N788" t="str" cm="1">
        <f t="array" ref="N788">_xlfn.IFS(I788="Rob", "Robusta", I788="Exc", "Excelsa", I788="Ara", "Arabica", I788="Lib", "Liberica", TRUE, "")</f>
        <v>Excelsa</v>
      </c>
      <c r="O788" t="str" cm="1">
        <f t="array" ref="O788">_xlfn.IFS(J788="M", "Medium", J788="L", "Light", J788="D", "Dark", TRUE, "")</f>
        <v>Dark</v>
      </c>
      <c r="P788" t="str">
        <f>_xlfn.XLOOKUP(Table1[[#This Row],[Customer ID]], customers!$A$1:$A$1001, customers!$I$1:$I$1001,, 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INDEX(Product!$A$1:$G$49,MATCH(orders!$D789,Product!$A$1:$A$49,0),MATCH(orders!I$1,Product!$A$1:$G$1,0))</f>
        <v>Exc</v>
      </c>
      <c r="J789" t="str">
        <f>INDEX(Product!$A$1:$G$49,MATCH(orders!$D789,Product!$A$1:$A$49,0),MATCH(orders!J$1,Product!$A$1:$G$1,0))</f>
        <v>M</v>
      </c>
      <c r="K789" s="4">
        <f>INDEX(Product!$A$1:$G$49,MATCH(orders!$D789,Product!$A$1:$A$49,0),MATCH(orders!K$1,Product!$A$1:$G$1,0))</f>
        <v>1</v>
      </c>
      <c r="L789" s="5">
        <f>INDEX(Product!$A$1:$G$49,MATCH(orders!$D789,Product!$A$1:$A$49,0),MATCH(orders!L$1,Product!$A$1:$G$1,0))</f>
        <v>13.75</v>
      </c>
      <c r="M789" s="5">
        <f t="shared" si="12"/>
        <v>82.5</v>
      </c>
      <c r="N789" t="str" cm="1">
        <f t="array" ref="N789">_xlfn.IFS(I789="Rob", "Robusta", I789="Exc", "Excelsa", I789="Ara", "Arabica", I789="Lib", "Liberica", TRUE, "")</f>
        <v>Excelsa</v>
      </c>
      <c r="O789" t="str" cm="1">
        <f t="array" ref="O789">_xlfn.IFS(J789="M", "Medium", J789="L", "Light", J789="D", "Dark", TRUE, "")</f>
        <v>Medium</v>
      </c>
      <c r="P789" t="str">
        <f>_xlfn.XLOOKUP(Table1[[#This Row],[Customer ID]], customers!$A$1:$A$1001, customers!$I$1:$I$1001,, 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INDEX(Product!$A$1:$G$49,MATCH(orders!$D790,Product!$A$1:$A$49,0),MATCH(orders!I$1,Product!$A$1:$G$1,0))</f>
        <v>Rob</v>
      </c>
      <c r="J790" t="str">
        <f>INDEX(Product!$A$1:$G$49,MATCH(orders!$D790,Product!$A$1:$A$49,0),MATCH(orders!J$1,Product!$A$1:$G$1,0))</f>
        <v>M</v>
      </c>
      <c r="K790" s="4">
        <f>INDEX(Product!$A$1:$G$49,MATCH(orders!$D790,Product!$A$1:$A$49,0),MATCH(orders!K$1,Product!$A$1:$G$1,0))</f>
        <v>2.5</v>
      </c>
      <c r="L790" s="5">
        <f>INDEX(Product!$A$1:$G$49,MATCH(orders!$D790,Product!$A$1:$A$49,0),MATCH(orders!L$1,Product!$A$1:$G$1,0))</f>
        <v>22.884999999999998</v>
      </c>
      <c r="M790" s="5">
        <f t="shared" si="12"/>
        <v>45.769999999999996</v>
      </c>
      <c r="N790" t="str" cm="1">
        <f t="array" ref="N790">_xlfn.IFS(I790="Rob", "Robusta", I790="Exc", "Excelsa", I790="Ara", "Arabica", I790="Lib", "Liberica", TRUE, "")</f>
        <v>Robusta</v>
      </c>
      <c r="O790" t="str" cm="1">
        <f t="array" ref="O790">_xlfn.IFS(J790="M", "Medium", J790="L", "Light", J790="D", "Dark", TRUE, "")</f>
        <v>Medium</v>
      </c>
      <c r="P790" t="str">
        <f>_xlfn.XLOOKUP(Table1[[#This Row],[Customer ID]], customers!$A$1:$A$1001, customers!$I$1:$I$1001,, 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INDEX(Product!$A$1:$G$49,MATCH(orders!$D791,Product!$A$1:$A$49,0),MATCH(orders!I$1,Product!$A$1:$G$1,0))</f>
        <v>Ara</v>
      </c>
      <c r="J791" t="str">
        <f>INDEX(Product!$A$1:$G$49,MATCH(orders!$D791,Product!$A$1:$A$49,0),MATCH(orders!J$1,Product!$A$1:$G$1,0))</f>
        <v>L</v>
      </c>
      <c r="K791" s="4">
        <f>INDEX(Product!$A$1:$G$49,MATCH(orders!$D791,Product!$A$1:$A$49,0),MATCH(orders!K$1,Product!$A$1:$G$1,0))</f>
        <v>1</v>
      </c>
      <c r="L791" s="5">
        <f>INDEX(Product!$A$1:$G$49,MATCH(orders!$D791,Product!$A$1:$A$49,0),MATCH(orders!L$1,Product!$A$1:$G$1,0))</f>
        <v>12.95</v>
      </c>
      <c r="M791" s="5">
        <f t="shared" si="12"/>
        <v>77.699999999999989</v>
      </c>
      <c r="N791" t="str" cm="1">
        <f t="array" ref="N791">_xlfn.IFS(I791="Rob", "Robusta", I791="Exc", "Excelsa", I791="Ara", "Arabica", I791="Lib", "Liberica", TRUE, "")</f>
        <v>Arabica</v>
      </c>
      <c r="O791" t="str" cm="1">
        <f t="array" ref="O791">_xlfn.IFS(J791="M", "Medium", J791="L", "Light", J791="D", "Dark", TRUE, "")</f>
        <v>Light</v>
      </c>
      <c r="P791" t="str">
        <f>_xlfn.XLOOKUP(Table1[[#This Row],[Customer ID]], customers!$A$1:$A$1001, customers!$I$1:$I$1001,, 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INDEX(Product!$A$1:$G$49,MATCH(orders!$D792,Product!$A$1:$A$49,0),MATCH(orders!I$1,Product!$A$1:$G$1,0))</f>
        <v>Ara</v>
      </c>
      <c r="J792" t="str">
        <f>INDEX(Product!$A$1:$G$49,MATCH(orders!$D792,Product!$A$1:$A$49,0),MATCH(orders!J$1,Product!$A$1:$G$1,0))</f>
        <v>L</v>
      </c>
      <c r="K792" s="4">
        <f>INDEX(Product!$A$1:$G$49,MATCH(orders!$D792,Product!$A$1:$A$49,0),MATCH(orders!K$1,Product!$A$1:$G$1,0))</f>
        <v>0.5</v>
      </c>
      <c r="L792" s="5">
        <f>INDEX(Product!$A$1:$G$49,MATCH(orders!$D792,Product!$A$1:$A$49,0),MATCH(orders!L$1,Product!$A$1:$G$1,0))</f>
        <v>7.77</v>
      </c>
      <c r="M792" s="5">
        <f t="shared" si="12"/>
        <v>23.31</v>
      </c>
      <c r="N792" t="str" cm="1">
        <f t="array" ref="N792">_xlfn.IFS(I792="Rob", "Robusta", I792="Exc", "Excelsa", I792="Ara", "Arabica", I792="Lib", "Liberica", TRUE, "")</f>
        <v>Arabica</v>
      </c>
      <c r="O792" t="str" cm="1">
        <f t="array" ref="O792">_xlfn.IFS(J792="M", "Medium", J792="L", "Light", J792="D", "Dark", TRUE, "")</f>
        <v>Light</v>
      </c>
      <c r="P792" t="str">
        <f>_xlfn.XLOOKUP(Table1[[#This Row],[Customer ID]], customers!$A$1:$A$1001, customers!$I$1:$I$1001,, 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INDEX(Product!$A$1:$G$49,MATCH(orders!$D793,Product!$A$1:$A$49,0),MATCH(orders!I$1,Product!$A$1:$G$1,0))</f>
        <v>Lib</v>
      </c>
      <c r="J793" t="str">
        <f>INDEX(Product!$A$1:$G$49,MATCH(orders!$D793,Product!$A$1:$A$49,0),MATCH(orders!J$1,Product!$A$1:$G$1,0))</f>
        <v>L</v>
      </c>
      <c r="K793" s="4">
        <f>INDEX(Product!$A$1:$G$49,MATCH(orders!$D793,Product!$A$1:$A$49,0),MATCH(orders!K$1,Product!$A$1:$G$1,0))</f>
        <v>0.2</v>
      </c>
      <c r="L793" s="5">
        <f>INDEX(Product!$A$1:$G$49,MATCH(orders!$D793,Product!$A$1:$A$49,0),MATCH(orders!L$1,Product!$A$1:$G$1,0))</f>
        <v>4.7549999999999999</v>
      </c>
      <c r="M793" s="5">
        <f t="shared" si="12"/>
        <v>23.774999999999999</v>
      </c>
      <c r="N793" t="str" cm="1">
        <f t="array" ref="N793">_xlfn.IFS(I793="Rob", "Robusta", I793="Exc", "Excelsa", I793="Ara", "Arabica", I793="Lib", "Liberica", TRUE, "")</f>
        <v>Liberica</v>
      </c>
      <c r="O793" t="str" cm="1">
        <f t="array" ref="O793">_xlfn.IFS(J793="M", "Medium", J793="L", "Light", J793="D", "Dark", TRUE, "")</f>
        <v>Light</v>
      </c>
      <c r="P793" t="str">
        <f>_xlfn.XLOOKUP(Table1[[#This Row],[Customer ID]], customers!$A$1:$A$1001, customers!$I$1:$I$1001,, 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INDEX(Product!$A$1:$G$49,MATCH(orders!$D794,Product!$A$1:$A$49,0),MATCH(orders!I$1,Product!$A$1:$G$1,0))</f>
        <v>Lib</v>
      </c>
      <c r="J794" t="str">
        <f>INDEX(Product!$A$1:$G$49,MATCH(orders!$D794,Product!$A$1:$A$49,0),MATCH(orders!J$1,Product!$A$1:$G$1,0))</f>
        <v>M</v>
      </c>
      <c r="K794" s="4">
        <f>INDEX(Product!$A$1:$G$49,MATCH(orders!$D794,Product!$A$1:$A$49,0),MATCH(orders!K$1,Product!$A$1:$G$1,0))</f>
        <v>0.5</v>
      </c>
      <c r="L794" s="5">
        <f>INDEX(Product!$A$1:$G$49,MATCH(orders!$D794,Product!$A$1:$A$49,0),MATCH(orders!L$1,Product!$A$1:$G$1,0))</f>
        <v>8.73</v>
      </c>
      <c r="M794" s="5">
        <f t="shared" si="12"/>
        <v>52.38</v>
      </c>
      <c r="N794" t="str" cm="1">
        <f t="array" ref="N794">_xlfn.IFS(I794="Rob", "Robusta", I794="Exc", "Excelsa", I794="Ara", "Arabica", I794="Lib", "Liberica", TRUE, "")</f>
        <v>Liberica</v>
      </c>
      <c r="O794" t="str" cm="1">
        <f t="array" ref="O794">_xlfn.IFS(J794="M", "Medium", J794="L", "Light", J794="D", "Dark", TRUE, "")</f>
        <v>Medium</v>
      </c>
      <c r="P794" t="str">
        <f>_xlfn.XLOOKUP(Table1[[#This Row],[Customer ID]], customers!$A$1:$A$1001, customers!$I$1:$I$1001,, 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INDEX(Product!$A$1:$G$49,MATCH(orders!$D795,Product!$A$1:$A$49,0),MATCH(orders!I$1,Product!$A$1:$G$1,0))</f>
        <v>Rob</v>
      </c>
      <c r="J795" t="str">
        <f>INDEX(Product!$A$1:$G$49,MATCH(orders!$D795,Product!$A$1:$A$49,0),MATCH(orders!J$1,Product!$A$1:$G$1,0))</f>
        <v>L</v>
      </c>
      <c r="K795" s="4">
        <f>INDEX(Product!$A$1:$G$49,MATCH(orders!$D795,Product!$A$1:$A$49,0),MATCH(orders!K$1,Product!$A$1:$G$1,0))</f>
        <v>0.2</v>
      </c>
      <c r="L795" s="5">
        <f>INDEX(Product!$A$1:$G$49,MATCH(orders!$D795,Product!$A$1:$A$49,0),MATCH(orders!L$1,Product!$A$1:$G$1,0))</f>
        <v>3.5849999999999995</v>
      </c>
      <c r="M795" s="5">
        <f t="shared" si="12"/>
        <v>17.924999999999997</v>
      </c>
      <c r="N795" t="str" cm="1">
        <f t="array" ref="N795">_xlfn.IFS(I795="Rob", "Robusta", I795="Exc", "Excelsa", I795="Ara", "Arabica", I795="Lib", "Liberica", TRUE, "")</f>
        <v>Robusta</v>
      </c>
      <c r="O795" t="str" cm="1">
        <f t="array" ref="O795">_xlfn.IFS(J795="M", "Medium", J795="L", "Light", J795="D", "Dark", TRUE, "")</f>
        <v>Light</v>
      </c>
      <c r="P795" t="str">
        <f>_xlfn.XLOOKUP(Table1[[#This Row],[Customer ID]], customers!$A$1:$A$1001, customers!$I$1:$I$1001,, 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INDEX(Product!$A$1:$G$49,MATCH(orders!$D796,Product!$A$1:$A$49,0),MATCH(orders!I$1,Product!$A$1:$G$1,0))</f>
        <v>Ara</v>
      </c>
      <c r="J796" t="str">
        <f>INDEX(Product!$A$1:$G$49,MATCH(orders!$D796,Product!$A$1:$A$49,0),MATCH(orders!J$1,Product!$A$1:$G$1,0))</f>
        <v>L</v>
      </c>
      <c r="K796" s="4">
        <f>INDEX(Product!$A$1:$G$49,MATCH(orders!$D796,Product!$A$1:$A$49,0),MATCH(orders!K$1,Product!$A$1:$G$1,0))</f>
        <v>2.5</v>
      </c>
      <c r="L796" s="5">
        <f>INDEX(Product!$A$1:$G$49,MATCH(orders!$D796,Product!$A$1:$A$49,0),MATCH(orders!L$1,Product!$A$1:$G$1,0))</f>
        <v>29.784999999999997</v>
      </c>
      <c r="M796" s="5">
        <f t="shared" si="12"/>
        <v>148.92499999999998</v>
      </c>
      <c r="N796" t="str" cm="1">
        <f t="array" ref="N796">_xlfn.IFS(I796="Rob", "Robusta", I796="Exc", "Excelsa", I796="Ara", "Arabica", I796="Lib", "Liberica", TRUE, "")</f>
        <v>Arabica</v>
      </c>
      <c r="O796" t="str" cm="1">
        <f t="array" ref="O796">_xlfn.IFS(J796="M", "Medium", J796="L", "Light", J796="D", "Dark", TRUE, "")</f>
        <v>Light</v>
      </c>
      <c r="P796" t="str">
        <f>_xlfn.XLOOKUP(Table1[[#This Row],[Customer ID]], customers!$A$1:$A$1001, customers!$I$1:$I$1001,, 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INDEX(Product!$A$1:$G$49,MATCH(orders!$D797,Product!$A$1:$A$49,0),MATCH(orders!I$1,Product!$A$1:$G$1,0))</f>
        <v>Rob</v>
      </c>
      <c r="J797" t="str">
        <f>INDEX(Product!$A$1:$G$49,MATCH(orders!$D797,Product!$A$1:$A$49,0),MATCH(orders!J$1,Product!$A$1:$G$1,0))</f>
        <v>L</v>
      </c>
      <c r="K797" s="4">
        <f>INDEX(Product!$A$1:$G$49,MATCH(orders!$D797,Product!$A$1:$A$49,0),MATCH(orders!K$1,Product!$A$1:$G$1,0))</f>
        <v>0.5</v>
      </c>
      <c r="L797" s="5">
        <f>INDEX(Product!$A$1:$G$49,MATCH(orders!$D797,Product!$A$1:$A$49,0),MATCH(orders!L$1,Product!$A$1:$G$1,0))</f>
        <v>7.169999999999999</v>
      </c>
      <c r="M797" s="5">
        <f t="shared" si="12"/>
        <v>28.679999999999996</v>
      </c>
      <c r="N797" t="str" cm="1">
        <f t="array" ref="N797">_xlfn.IFS(I797="Rob", "Robusta", I797="Exc", "Excelsa", I797="Ara", "Arabica", I797="Lib", "Liberica", TRUE, "")</f>
        <v>Robusta</v>
      </c>
      <c r="O797" t="str" cm="1">
        <f t="array" ref="O797">_xlfn.IFS(J797="M", "Medium", J797="L", "Light", J797="D", "Dark", TRUE, "")</f>
        <v>Light</v>
      </c>
      <c r="P797" t="str">
        <f>_xlfn.XLOOKUP(Table1[[#This Row],[Customer ID]], customers!$A$1:$A$1001, customers!$I$1:$I$1001,, 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INDEX(Product!$A$1:$G$49,MATCH(orders!$D798,Product!$A$1:$A$49,0),MATCH(orders!I$1,Product!$A$1:$G$1,0))</f>
        <v>Lib</v>
      </c>
      <c r="J798" t="str">
        <f>INDEX(Product!$A$1:$G$49,MATCH(orders!$D798,Product!$A$1:$A$49,0),MATCH(orders!J$1,Product!$A$1:$G$1,0))</f>
        <v>L</v>
      </c>
      <c r="K798" s="4">
        <f>INDEX(Product!$A$1:$G$49,MATCH(orders!$D798,Product!$A$1:$A$49,0),MATCH(orders!K$1,Product!$A$1:$G$1,0))</f>
        <v>0.5</v>
      </c>
      <c r="L798" s="5">
        <f>INDEX(Product!$A$1:$G$49,MATCH(orders!$D798,Product!$A$1:$A$49,0),MATCH(orders!L$1,Product!$A$1:$G$1,0))</f>
        <v>9.51</v>
      </c>
      <c r="M798" s="5">
        <f t="shared" si="12"/>
        <v>9.51</v>
      </c>
      <c r="N798" t="str" cm="1">
        <f t="array" ref="N798">_xlfn.IFS(I798="Rob", "Robusta", I798="Exc", "Excelsa", I798="Ara", "Arabica", I798="Lib", "Liberica", TRUE, "")</f>
        <v>Liberica</v>
      </c>
      <c r="O798" t="str" cm="1">
        <f t="array" ref="O798">_xlfn.IFS(J798="M", "Medium", J798="L", "Light", J798="D", "Dark", TRUE, "")</f>
        <v>Light</v>
      </c>
      <c r="P798" t="str">
        <f>_xlfn.XLOOKUP(Table1[[#This Row],[Customer ID]], customers!$A$1:$A$1001, customers!$I$1:$I$1001,, 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INDEX(Product!$A$1:$G$49,MATCH(orders!$D799,Product!$A$1:$A$49,0),MATCH(orders!I$1,Product!$A$1:$G$1,0))</f>
        <v>Ara</v>
      </c>
      <c r="J799" t="str">
        <f>INDEX(Product!$A$1:$G$49,MATCH(orders!$D799,Product!$A$1:$A$49,0),MATCH(orders!J$1,Product!$A$1:$G$1,0))</f>
        <v>L</v>
      </c>
      <c r="K799" s="4">
        <f>INDEX(Product!$A$1:$G$49,MATCH(orders!$D799,Product!$A$1:$A$49,0),MATCH(orders!K$1,Product!$A$1:$G$1,0))</f>
        <v>0.5</v>
      </c>
      <c r="L799" s="5">
        <f>INDEX(Product!$A$1:$G$49,MATCH(orders!$D799,Product!$A$1:$A$49,0),MATCH(orders!L$1,Product!$A$1:$G$1,0))</f>
        <v>7.77</v>
      </c>
      <c r="M799" s="5">
        <f t="shared" si="12"/>
        <v>31.08</v>
      </c>
      <c r="N799" t="str" cm="1">
        <f t="array" ref="N799">_xlfn.IFS(I799="Rob", "Robusta", I799="Exc", "Excelsa", I799="Ara", "Arabica", I799="Lib", "Liberica", TRUE, "")</f>
        <v>Arabica</v>
      </c>
      <c r="O799" t="str" cm="1">
        <f t="array" ref="O799">_xlfn.IFS(J799="M", "Medium", J799="L", "Light", J799="D", "Dark", TRUE, "")</f>
        <v>Light</v>
      </c>
      <c r="P799" t="str">
        <f>_xlfn.XLOOKUP(Table1[[#This Row],[Customer ID]], customers!$A$1:$A$1001, customers!$I$1:$I$1001,, 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INDEX(Product!$A$1:$G$49,MATCH(orders!$D800,Product!$A$1:$A$49,0),MATCH(orders!I$1,Product!$A$1:$G$1,0))</f>
        <v>Rob</v>
      </c>
      <c r="J800" t="str">
        <f>INDEX(Product!$A$1:$G$49,MATCH(orders!$D800,Product!$A$1:$A$49,0),MATCH(orders!J$1,Product!$A$1:$G$1,0))</f>
        <v>D</v>
      </c>
      <c r="K800" s="4">
        <f>INDEX(Product!$A$1:$G$49,MATCH(orders!$D800,Product!$A$1:$A$49,0),MATCH(orders!K$1,Product!$A$1:$G$1,0))</f>
        <v>0.2</v>
      </c>
      <c r="L800" s="5">
        <f>INDEX(Product!$A$1:$G$49,MATCH(orders!$D800,Product!$A$1:$A$49,0),MATCH(orders!L$1,Product!$A$1:$G$1,0))</f>
        <v>2.6849999999999996</v>
      </c>
      <c r="M800" s="5">
        <f t="shared" si="12"/>
        <v>8.0549999999999997</v>
      </c>
      <c r="N800" t="str" cm="1">
        <f t="array" ref="N800">_xlfn.IFS(I800="Rob", "Robusta", I800="Exc", "Excelsa", I800="Ara", "Arabica", I800="Lib", "Liberica", TRUE, "")</f>
        <v>Robusta</v>
      </c>
      <c r="O800" t="str" cm="1">
        <f t="array" ref="O800">_xlfn.IFS(J800="M", "Medium", J800="L", "Light", J800="D", "Dark", TRUE, "")</f>
        <v>Dark</v>
      </c>
      <c r="P800" t="str">
        <f>_xlfn.XLOOKUP(Table1[[#This Row],[Customer ID]], customers!$A$1:$A$1001, customers!$I$1:$I$1001,, 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INDEX(Product!$A$1:$G$49,MATCH(orders!$D801,Product!$A$1:$A$49,0),MATCH(orders!I$1,Product!$A$1:$G$1,0))</f>
        <v>Exc</v>
      </c>
      <c r="J801" t="str">
        <f>INDEX(Product!$A$1:$G$49,MATCH(orders!$D801,Product!$A$1:$A$49,0),MATCH(orders!J$1,Product!$A$1:$G$1,0))</f>
        <v>D</v>
      </c>
      <c r="K801" s="4">
        <f>INDEX(Product!$A$1:$G$49,MATCH(orders!$D801,Product!$A$1:$A$49,0),MATCH(orders!K$1,Product!$A$1:$G$1,0))</f>
        <v>1</v>
      </c>
      <c r="L801" s="5">
        <f>INDEX(Product!$A$1:$G$49,MATCH(orders!$D801,Product!$A$1:$A$49,0),MATCH(orders!L$1,Product!$A$1:$G$1,0))</f>
        <v>12.15</v>
      </c>
      <c r="M801" s="5">
        <f t="shared" si="12"/>
        <v>36.450000000000003</v>
      </c>
      <c r="N801" t="str" cm="1">
        <f t="array" ref="N801">_xlfn.IFS(I801="Rob", "Robusta", I801="Exc", "Excelsa", I801="Ara", "Arabica", I801="Lib", "Liberica", TRUE, "")</f>
        <v>Excelsa</v>
      </c>
      <c r="O801" t="str" cm="1">
        <f t="array" ref="O801">_xlfn.IFS(J801="M", "Medium", J801="L", "Light", J801="D", "Dark", TRUE, "")</f>
        <v>Dark</v>
      </c>
      <c r="P801" t="str">
        <f>_xlfn.XLOOKUP(Table1[[#This Row],[Customer ID]], customers!$A$1:$A$1001, customers!$I$1:$I$1001,, 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INDEX(Product!$A$1:$G$49,MATCH(orders!$D802,Product!$A$1:$A$49,0),MATCH(orders!I$1,Product!$A$1:$G$1,0))</f>
        <v>Rob</v>
      </c>
      <c r="J802" t="str">
        <f>INDEX(Product!$A$1:$G$49,MATCH(orders!$D802,Product!$A$1:$A$49,0),MATCH(orders!J$1,Product!$A$1:$G$1,0))</f>
        <v>D</v>
      </c>
      <c r="K802" s="4">
        <f>INDEX(Product!$A$1:$G$49,MATCH(orders!$D802,Product!$A$1:$A$49,0),MATCH(orders!K$1,Product!$A$1:$G$1,0))</f>
        <v>0.2</v>
      </c>
      <c r="L802" s="5">
        <f>INDEX(Product!$A$1:$G$49,MATCH(orders!$D802,Product!$A$1:$A$49,0),MATCH(orders!L$1,Product!$A$1:$G$1,0))</f>
        <v>2.6849999999999996</v>
      </c>
      <c r="M802" s="5">
        <f t="shared" si="12"/>
        <v>16.11</v>
      </c>
      <c r="N802" t="str" cm="1">
        <f t="array" ref="N802">_xlfn.IFS(I802="Rob", "Robusta", I802="Exc", "Excelsa", I802="Ara", "Arabica", I802="Lib", "Liberica", TRUE, "")</f>
        <v>Robusta</v>
      </c>
      <c r="O802" t="str" cm="1">
        <f t="array" ref="O802">_xlfn.IFS(J802="M", "Medium", J802="L", "Light", J802="D", "Dark", TRUE, "")</f>
        <v>Dark</v>
      </c>
      <c r="P802" t="str">
        <f>_xlfn.XLOOKUP(Table1[[#This Row],[Customer ID]], customers!$A$1:$A$1001, customers!$I$1:$I$1001,, 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INDEX(Product!$A$1:$G$49,MATCH(orders!$D803,Product!$A$1:$A$49,0),MATCH(orders!I$1,Product!$A$1:$G$1,0))</f>
        <v>Rob</v>
      </c>
      <c r="J803" t="str">
        <f>INDEX(Product!$A$1:$G$49,MATCH(orders!$D803,Product!$A$1:$A$49,0),MATCH(orders!J$1,Product!$A$1:$G$1,0))</f>
        <v>D</v>
      </c>
      <c r="K803" s="4">
        <f>INDEX(Product!$A$1:$G$49,MATCH(orders!$D803,Product!$A$1:$A$49,0),MATCH(orders!K$1,Product!$A$1:$G$1,0))</f>
        <v>2.5</v>
      </c>
      <c r="L803" s="5">
        <f>INDEX(Product!$A$1:$G$49,MATCH(orders!$D803,Product!$A$1:$A$49,0),MATCH(orders!L$1,Product!$A$1:$G$1,0))</f>
        <v>20.584999999999997</v>
      </c>
      <c r="M803" s="5">
        <f t="shared" si="12"/>
        <v>41.169999999999995</v>
      </c>
      <c r="N803" t="str" cm="1">
        <f t="array" ref="N803">_xlfn.IFS(I803="Rob", "Robusta", I803="Exc", "Excelsa", I803="Ara", "Arabica", I803="Lib", "Liberica", TRUE, "")</f>
        <v>Robusta</v>
      </c>
      <c r="O803" t="str" cm="1">
        <f t="array" ref="O803">_xlfn.IFS(J803="M", "Medium", J803="L", "Light", J803="D", "Dark", TRUE, "")</f>
        <v>Dark</v>
      </c>
      <c r="P803" t="str">
        <f>_xlfn.XLOOKUP(Table1[[#This Row],[Customer ID]], customers!$A$1:$A$1001, customers!$I$1:$I$1001,, 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INDEX(Product!$A$1:$G$49,MATCH(orders!$D804,Product!$A$1:$A$49,0),MATCH(orders!I$1,Product!$A$1:$G$1,0))</f>
        <v>Rob</v>
      </c>
      <c r="J804" t="str">
        <f>INDEX(Product!$A$1:$G$49,MATCH(orders!$D804,Product!$A$1:$A$49,0),MATCH(orders!J$1,Product!$A$1:$G$1,0))</f>
        <v>D</v>
      </c>
      <c r="K804" s="4">
        <f>INDEX(Product!$A$1:$G$49,MATCH(orders!$D804,Product!$A$1:$A$49,0),MATCH(orders!K$1,Product!$A$1:$G$1,0))</f>
        <v>0.2</v>
      </c>
      <c r="L804" s="5">
        <f>INDEX(Product!$A$1:$G$49,MATCH(orders!$D804,Product!$A$1:$A$49,0),MATCH(orders!L$1,Product!$A$1:$G$1,0))</f>
        <v>2.6849999999999996</v>
      </c>
      <c r="M804" s="5">
        <f t="shared" si="12"/>
        <v>10.739999999999998</v>
      </c>
      <c r="N804" t="str" cm="1">
        <f t="array" ref="N804">_xlfn.IFS(I804="Rob", "Robusta", I804="Exc", "Excelsa", I804="Ara", "Arabica", I804="Lib", "Liberica", TRUE, "")</f>
        <v>Robusta</v>
      </c>
      <c r="O804" t="str" cm="1">
        <f t="array" ref="O804">_xlfn.IFS(J804="M", "Medium", J804="L", "Light", J804="D", "Dark", TRUE, "")</f>
        <v>Dark</v>
      </c>
      <c r="P804" t="str">
        <f>_xlfn.XLOOKUP(Table1[[#This Row],[Customer ID]], customers!$A$1:$A$1001, customers!$I$1:$I$1001,, 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INDEX(Product!$A$1:$G$49,MATCH(orders!$D805,Product!$A$1:$A$49,0),MATCH(orders!I$1,Product!$A$1:$G$1,0))</f>
        <v>Exc</v>
      </c>
      <c r="J805" t="str">
        <f>INDEX(Product!$A$1:$G$49,MATCH(orders!$D805,Product!$A$1:$A$49,0),MATCH(orders!J$1,Product!$A$1:$G$1,0))</f>
        <v>M</v>
      </c>
      <c r="K805" s="4">
        <f>INDEX(Product!$A$1:$G$49,MATCH(orders!$D805,Product!$A$1:$A$49,0),MATCH(orders!K$1,Product!$A$1:$G$1,0))</f>
        <v>2.5</v>
      </c>
      <c r="L805" s="5">
        <f>INDEX(Product!$A$1:$G$49,MATCH(orders!$D805,Product!$A$1:$A$49,0),MATCH(orders!L$1,Product!$A$1:$G$1,0))</f>
        <v>31.624999999999996</v>
      </c>
      <c r="M805" s="5">
        <f t="shared" si="12"/>
        <v>126.49999999999999</v>
      </c>
      <c r="N805" t="str" cm="1">
        <f t="array" ref="N805">_xlfn.IFS(I805="Rob", "Robusta", I805="Exc", "Excelsa", I805="Ara", "Arabica", I805="Lib", "Liberica", TRUE, "")</f>
        <v>Excelsa</v>
      </c>
      <c r="O805" t="str" cm="1">
        <f t="array" ref="O805">_xlfn.IFS(J805="M", "Medium", J805="L", "Light", J805="D", "Dark", TRUE, "")</f>
        <v>Medium</v>
      </c>
      <c r="P805" t="str">
        <f>_xlfn.XLOOKUP(Table1[[#This Row],[Customer ID]], customers!$A$1:$A$1001, customers!$I$1:$I$1001,, 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INDEX(Product!$A$1:$G$49,MATCH(orders!$D806,Product!$A$1:$A$49,0),MATCH(orders!I$1,Product!$A$1:$G$1,0))</f>
        <v>Rob</v>
      </c>
      <c r="J806" t="str">
        <f>INDEX(Product!$A$1:$G$49,MATCH(orders!$D806,Product!$A$1:$A$49,0),MATCH(orders!J$1,Product!$A$1:$G$1,0))</f>
        <v>L</v>
      </c>
      <c r="K806" s="4">
        <f>INDEX(Product!$A$1:$G$49,MATCH(orders!$D806,Product!$A$1:$A$49,0),MATCH(orders!K$1,Product!$A$1:$G$1,0))</f>
        <v>1</v>
      </c>
      <c r="L806" s="5">
        <f>INDEX(Product!$A$1:$G$49,MATCH(orders!$D806,Product!$A$1:$A$49,0),MATCH(orders!L$1,Product!$A$1:$G$1,0))</f>
        <v>11.95</v>
      </c>
      <c r="M806" s="5">
        <f t="shared" si="12"/>
        <v>23.9</v>
      </c>
      <c r="N806" t="str" cm="1">
        <f t="array" ref="N806">_xlfn.IFS(I806="Rob", "Robusta", I806="Exc", "Excelsa", I806="Ara", "Arabica", I806="Lib", "Liberica", TRUE, "")</f>
        <v>Robusta</v>
      </c>
      <c r="O806" t="str" cm="1">
        <f t="array" ref="O806">_xlfn.IFS(J806="M", "Medium", J806="L", "Light", J806="D", "Dark", TRUE, "")</f>
        <v>Light</v>
      </c>
      <c r="P806" t="str">
        <f>_xlfn.XLOOKUP(Table1[[#This Row],[Customer ID]], customers!$A$1:$A$1001, customers!$I$1:$I$1001,, 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INDEX(Product!$A$1:$G$49,MATCH(orders!$D807,Product!$A$1:$A$49,0),MATCH(orders!I$1,Product!$A$1:$G$1,0))</f>
        <v>Rob</v>
      </c>
      <c r="J807" t="str">
        <f>INDEX(Product!$A$1:$G$49,MATCH(orders!$D807,Product!$A$1:$A$49,0),MATCH(orders!J$1,Product!$A$1:$G$1,0))</f>
        <v>M</v>
      </c>
      <c r="K807" s="4">
        <f>INDEX(Product!$A$1:$G$49,MATCH(orders!$D807,Product!$A$1:$A$49,0),MATCH(orders!K$1,Product!$A$1:$G$1,0))</f>
        <v>0.5</v>
      </c>
      <c r="L807" s="5">
        <f>INDEX(Product!$A$1:$G$49,MATCH(orders!$D807,Product!$A$1:$A$49,0),MATCH(orders!L$1,Product!$A$1:$G$1,0))</f>
        <v>5.97</v>
      </c>
      <c r="M807" s="5">
        <f t="shared" si="12"/>
        <v>5.97</v>
      </c>
      <c r="N807" t="str" cm="1">
        <f t="array" ref="N807">_xlfn.IFS(I807="Rob", "Robusta", I807="Exc", "Excelsa", I807="Ara", "Arabica", I807="Lib", "Liberica", TRUE, "")</f>
        <v>Robusta</v>
      </c>
      <c r="O807" t="str" cm="1">
        <f t="array" ref="O807">_xlfn.IFS(J807="M", "Medium", J807="L", "Light", J807="D", "Dark", TRUE, "")</f>
        <v>Medium</v>
      </c>
      <c r="P807" t="str">
        <f>_xlfn.XLOOKUP(Table1[[#This Row],[Customer ID]], customers!$A$1:$A$1001, customers!$I$1:$I$1001,, 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INDEX(Product!$A$1:$G$49,MATCH(orders!$D808,Product!$A$1:$A$49,0),MATCH(orders!I$1,Product!$A$1:$G$1,0))</f>
        <v>Lib</v>
      </c>
      <c r="J808" t="str">
        <f>INDEX(Product!$A$1:$G$49,MATCH(orders!$D808,Product!$A$1:$A$49,0),MATCH(orders!J$1,Product!$A$1:$G$1,0))</f>
        <v>D</v>
      </c>
      <c r="K808" s="4">
        <f>INDEX(Product!$A$1:$G$49,MATCH(orders!$D808,Product!$A$1:$A$49,0),MATCH(orders!K$1,Product!$A$1:$G$1,0))</f>
        <v>0.2</v>
      </c>
      <c r="L808" s="5">
        <f>INDEX(Product!$A$1:$G$49,MATCH(orders!$D808,Product!$A$1:$A$49,0),MATCH(orders!L$1,Product!$A$1:$G$1,0))</f>
        <v>3.8849999999999998</v>
      </c>
      <c r="M808" s="5">
        <f t="shared" si="12"/>
        <v>7.77</v>
      </c>
      <c r="N808" t="str" cm="1">
        <f t="array" ref="N808">_xlfn.IFS(I808="Rob", "Robusta", I808="Exc", "Excelsa", I808="Ara", "Arabica", I808="Lib", "Liberica", TRUE, "")</f>
        <v>Liberica</v>
      </c>
      <c r="O808" t="str" cm="1">
        <f t="array" ref="O808">_xlfn.IFS(J808="M", "Medium", J808="L", "Light", J808="D", "Dark", TRUE, "")</f>
        <v>Dark</v>
      </c>
      <c r="P808" t="str">
        <f>_xlfn.XLOOKUP(Table1[[#This Row],[Customer ID]], customers!$A$1:$A$1001, customers!$I$1:$I$1001,, 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INDEX(Product!$A$1:$G$49,MATCH(orders!$D809,Product!$A$1:$A$49,0),MATCH(orders!I$1,Product!$A$1:$G$1,0))</f>
        <v>Lib</v>
      </c>
      <c r="J809" t="str">
        <f>INDEX(Product!$A$1:$G$49,MATCH(orders!$D809,Product!$A$1:$A$49,0),MATCH(orders!J$1,Product!$A$1:$G$1,0))</f>
        <v>D</v>
      </c>
      <c r="K809" s="4">
        <f>INDEX(Product!$A$1:$G$49,MATCH(orders!$D809,Product!$A$1:$A$49,0),MATCH(orders!K$1,Product!$A$1:$G$1,0))</f>
        <v>0.5</v>
      </c>
      <c r="L809" s="5">
        <f>INDEX(Product!$A$1:$G$49,MATCH(orders!$D809,Product!$A$1:$A$49,0),MATCH(orders!L$1,Product!$A$1:$G$1,0))</f>
        <v>7.77</v>
      </c>
      <c r="M809" s="5">
        <f t="shared" si="12"/>
        <v>23.31</v>
      </c>
      <c r="N809" t="str" cm="1">
        <f t="array" ref="N809">_xlfn.IFS(I809="Rob", "Robusta", I809="Exc", "Excelsa", I809="Ara", "Arabica", I809="Lib", "Liberica", TRUE, "")</f>
        <v>Liberica</v>
      </c>
      <c r="O809" t="str" cm="1">
        <f t="array" ref="O809">_xlfn.IFS(J809="M", "Medium", J809="L", "Light", J809="D", "Dark", TRUE, "")</f>
        <v>Dark</v>
      </c>
      <c r="P809" t="str">
        <f>_xlfn.XLOOKUP(Table1[[#This Row],[Customer ID]], customers!$A$1:$A$1001, customers!$I$1:$I$1001,, 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INDEX(Product!$A$1:$G$49,MATCH(orders!$D810,Product!$A$1:$A$49,0),MATCH(orders!I$1,Product!$A$1:$G$1,0))</f>
        <v>Rob</v>
      </c>
      <c r="J810" t="str">
        <f>INDEX(Product!$A$1:$G$49,MATCH(orders!$D810,Product!$A$1:$A$49,0),MATCH(orders!J$1,Product!$A$1:$G$1,0))</f>
        <v>L</v>
      </c>
      <c r="K810" s="4">
        <f>INDEX(Product!$A$1:$G$49,MATCH(orders!$D810,Product!$A$1:$A$49,0),MATCH(orders!K$1,Product!$A$1:$G$1,0))</f>
        <v>2.5</v>
      </c>
      <c r="L810" s="5">
        <f>INDEX(Product!$A$1:$G$49,MATCH(orders!$D810,Product!$A$1:$A$49,0),MATCH(orders!L$1,Product!$A$1:$G$1,0))</f>
        <v>27.484999999999996</v>
      </c>
      <c r="M810" s="5">
        <f t="shared" si="12"/>
        <v>137.42499999999998</v>
      </c>
      <c r="N810" t="str" cm="1">
        <f t="array" ref="N810">_xlfn.IFS(I810="Rob", "Robusta", I810="Exc", "Excelsa", I810="Ara", "Arabica", I810="Lib", "Liberica", TRUE, "")</f>
        <v>Robusta</v>
      </c>
      <c r="O810" t="str" cm="1">
        <f t="array" ref="O810">_xlfn.IFS(J810="M", "Medium", J810="L", "Light", J810="D", "Dark", TRUE, "")</f>
        <v>Light</v>
      </c>
      <c r="P810" t="str">
        <f>_xlfn.XLOOKUP(Table1[[#This Row],[Customer ID]], customers!$A$1:$A$1001, customers!$I$1:$I$1001,, 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INDEX(Product!$A$1:$G$49,MATCH(orders!$D811,Product!$A$1:$A$49,0),MATCH(orders!I$1,Product!$A$1:$G$1,0))</f>
        <v>Rob</v>
      </c>
      <c r="J811" t="str">
        <f>INDEX(Product!$A$1:$G$49,MATCH(orders!$D811,Product!$A$1:$A$49,0),MATCH(orders!J$1,Product!$A$1:$G$1,0))</f>
        <v>D</v>
      </c>
      <c r="K811" s="4">
        <f>INDEX(Product!$A$1:$G$49,MATCH(orders!$D811,Product!$A$1:$A$49,0),MATCH(orders!K$1,Product!$A$1:$G$1,0))</f>
        <v>0.2</v>
      </c>
      <c r="L811" s="5">
        <f>INDEX(Product!$A$1:$G$49,MATCH(orders!$D811,Product!$A$1:$A$49,0),MATCH(orders!L$1,Product!$A$1:$G$1,0))</f>
        <v>2.6849999999999996</v>
      </c>
      <c r="M811" s="5">
        <f t="shared" si="12"/>
        <v>8.0549999999999997</v>
      </c>
      <c r="N811" t="str" cm="1">
        <f t="array" ref="N811">_xlfn.IFS(I811="Rob", "Robusta", I811="Exc", "Excelsa", I811="Ara", "Arabica", I811="Lib", "Liberica", TRUE, "")</f>
        <v>Robusta</v>
      </c>
      <c r="O811" t="str" cm="1">
        <f t="array" ref="O811">_xlfn.IFS(J811="M", "Medium", J811="L", "Light", J811="D", "Dark", TRUE, "")</f>
        <v>Dark</v>
      </c>
      <c r="P811" t="str">
        <f>_xlfn.XLOOKUP(Table1[[#This Row],[Customer ID]], customers!$A$1:$A$1001, customers!$I$1:$I$1001,, 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INDEX(Product!$A$1:$G$49,MATCH(orders!$D812,Product!$A$1:$A$49,0),MATCH(orders!I$1,Product!$A$1:$G$1,0))</f>
        <v>Lib</v>
      </c>
      <c r="J812" t="str">
        <f>INDEX(Product!$A$1:$G$49,MATCH(orders!$D812,Product!$A$1:$A$49,0),MATCH(orders!J$1,Product!$A$1:$G$1,0))</f>
        <v>L</v>
      </c>
      <c r="K812" s="4">
        <f>INDEX(Product!$A$1:$G$49,MATCH(orders!$D812,Product!$A$1:$A$49,0),MATCH(orders!K$1,Product!$A$1:$G$1,0))</f>
        <v>0.5</v>
      </c>
      <c r="L812" s="5">
        <f>INDEX(Product!$A$1:$G$49,MATCH(orders!$D812,Product!$A$1:$A$49,0),MATCH(orders!L$1,Product!$A$1:$G$1,0))</f>
        <v>9.51</v>
      </c>
      <c r="M812" s="5">
        <f t="shared" si="12"/>
        <v>28.53</v>
      </c>
      <c r="N812" t="str" cm="1">
        <f t="array" ref="N812">_xlfn.IFS(I812="Rob", "Robusta", I812="Exc", "Excelsa", I812="Ara", "Arabica", I812="Lib", "Liberica", TRUE, "")</f>
        <v>Liberica</v>
      </c>
      <c r="O812" t="str" cm="1">
        <f t="array" ref="O812">_xlfn.IFS(J812="M", "Medium", J812="L", "Light", J812="D", "Dark", TRUE, "")</f>
        <v>Light</v>
      </c>
      <c r="P812" t="str">
        <f>_xlfn.XLOOKUP(Table1[[#This Row],[Customer ID]], customers!$A$1:$A$1001, customers!$I$1:$I$1001,, 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INDEX(Product!$A$1:$G$49,MATCH(orders!$D813,Product!$A$1:$A$49,0),MATCH(orders!I$1,Product!$A$1:$G$1,0))</f>
        <v>Ara</v>
      </c>
      <c r="J813" t="str">
        <f>INDEX(Product!$A$1:$G$49,MATCH(orders!$D813,Product!$A$1:$A$49,0),MATCH(orders!J$1,Product!$A$1:$G$1,0))</f>
        <v>M</v>
      </c>
      <c r="K813" s="4">
        <f>INDEX(Product!$A$1:$G$49,MATCH(orders!$D813,Product!$A$1:$A$49,0),MATCH(orders!K$1,Product!$A$1:$G$1,0))</f>
        <v>1</v>
      </c>
      <c r="L813" s="5">
        <f>INDEX(Product!$A$1:$G$49,MATCH(orders!$D813,Product!$A$1:$A$49,0),MATCH(orders!L$1,Product!$A$1:$G$1,0))</f>
        <v>11.25</v>
      </c>
      <c r="M813" s="5">
        <f t="shared" si="12"/>
        <v>67.5</v>
      </c>
      <c r="N813" t="str" cm="1">
        <f t="array" ref="N813">_xlfn.IFS(I813="Rob", "Robusta", I813="Exc", "Excelsa", I813="Ara", "Arabica", I813="Lib", "Liberica", TRUE, "")</f>
        <v>Arabica</v>
      </c>
      <c r="O813" t="str" cm="1">
        <f t="array" ref="O813">_xlfn.IFS(J813="M", "Medium", J813="L", "Light", J813="D", "Dark", TRUE, "")</f>
        <v>Medium</v>
      </c>
      <c r="P813" t="str">
        <f>_xlfn.XLOOKUP(Table1[[#This Row],[Customer ID]], customers!$A$1:$A$1001, customers!$I$1:$I$1001,, 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INDEX(Product!$A$1:$G$49,MATCH(orders!$D814,Product!$A$1:$A$49,0),MATCH(orders!I$1,Product!$A$1:$G$1,0))</f>
        <v>Lib</v>
      </c>
      <c r="J814" t="str">
        <f>INDEX(Product!$A$1:$G$49,MATCH(orders!$D814,Product!$A$1:$A$49,0),MATCH(orders!J$1,Product!$A$1:$G$1,0))</f>
        <v>D</v>
      </c>
      <c r="K814" s="4">
        <f>INDEX(Product!$A$1:$G$49,MATCH(orders!$D814,Product!$A$1:$A$49,0),MATCH(orders!K$1,Product!$A$1:$G$1,0))</f>
        <v>2.5</v>
      </c>
      <c r="L814" s="5">
        <f>INDEX(Product!$A$1:$G$49,MATCH(orders!$D814,Product!$A$1:$A$49,0),MATCH(orders!L$1,Product!$A$1:$G$1,0))</f>
        <v>29.784999999999997</v>
      </c>
      <c r="M814" s="5">
        <f t="shared" si="12"/>
        <v>178.70999999999998</v>
      </c>
      <c r="N814" t="str" cm="1">
        <f t="array" ref="N814">_xlfn.IFS(I814="Rob", "Robusta", I814="Exc", "Excelsa", I814="Ara", "Arabica", I814="Lib", "Liberica", TRUE, "")</f>
        <v>Liberica</v>
      </c>
      <c r="O814" t="str" cm="1">
        <f t="array" ref="O814">_xlfn.IFS(J814="M", "Medium", J814="L", "Light", J814="D", "Dark", TRUE, "")</f>
        <v>Dark</v>
      </c>
      <c r="P814" t="str">
        <f>_xlfn.XLOOKUP(Table1[[#This Row],[Customer ID]], customers!$A$1:$A$1001, customers!$I$1:$I$1001,, 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INDEX(Product!$A$1:$G$49,MATCH(orders!$D815,Product!$A$1:$A$49,0),MATCH(orders!I$1,Product!$A$1:$G$1,0))</f>
        <v>Exc</v>
      </c>
      <c r="J815" t="str">
        <f>INDEX(Product!$A$1:$G$49,MATCH(orders!$D815,Product!$A$1:$A$49,0),MATCH(orders!J$1,Product!$A$1:$G$1,0))</f>
        <v>M</v>
      </c>
      <c r="K815" s="4">
        <f>INDEX(Product!$A$1:$G$49,MATCH(orders!$D815,Product!$A$1:$A$49,0),MATCH(orders!K$1,Product!$A$1:$G$1,0))</f>
        <v>2.5</v>
      </c>
      <c r="L815" s="5">
        <f>INDEX(Product!$A$1:$G$49,MATCH(orders!$D815,Product!$A$1:$A$49,0),MATCH(orders!L$1,Product!$A$1:$G$1,0))</f>
        <v>31.624999999999996</v>
      </c>
      <c r="M815" s="5">
        <f t="shared" si="12"/>
        <v>31.624999999999996</v>
      </c>
      <c r="N815" t="str" cm="1">
        <f t="array" ref="N815">_xlfn.IFS(I815="Rob", "Robusta", I815="Exc", "Excelsa", I815="Ara", "Arabica", I815="Lib", "Liberica", TRUE, "")</f>
        <v>Excelsa</v>
      </c>
      <c r="O815" t="str" cm="1">
        <f t="array" ref="O815">_xlfn.IFS(J815="M", "Medium", J815="L", "Light", J815="D", "Dark", TRUE, "")</f>
        <v>Medium</v>
      </c>
      <c r="P815" t="str">
        <f>_xlfn.XLOOKUP(Table1[[#This Row],[Customer ID]], customers!$A$1:$A$1001, customers!$I$1:$I$1001,, 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INDEX(Product!$A$1:$G$49,MATCH(orders!$D816,Product!$A$1:$A$49,0),MATCH(orders!I$1,Product!$A$1:$G$1,0))</f>
        <v>Exc</v>
      </c>
      <c r="J816" t="str">
        <f>INDEX(Product!$A$1:$G$49,MATCH(orders!$D816,Product!$A$1:$A$49,0),MATCH(orders!J$1,Product!$A$1:$G$1,0))</f>
        <v>L</v>
      </c>
      <c r="K816" s="4">
        <f>INDEX(Product!$A$1:$G$49,MATCH(orders!$D816,Product!$A$1:$A$49,0),MATCH(orders!K$1,Product!$A$1:$G$1,0))</f>
        <v>0.2</v>
      </c>
      <c r="L816" s="5">
        <f>INDEX(Product!$A$1:$G$49,MATCH(orders!$D816,Product!$A$1:$A$49,0),MATCH(orders!L$1,Product!$A$1:$G$1,0))</f>
        <v>4.4550000000000001</v>
      </c>
      <c r="M816" s="5">
        <f t="shared" si="12"/>
        <v>8.91</v>
      </c>
      <c r="N816" t="str" cm="1">
        <f t="array" ref="N816">_xlfn.IFS(I816="Rob", "Robusta", I816="Exc", "Excelsa", I816="Ara", "Arabica", I816="Lib", "Liberica", TRUE, "")</f>
        <v>Excelsa</v>
      </c>
      <c r="O816" t="str" cm="1">
        <f t="array" ref="O816">_xlfn.IFS(J816="M", "Medium", J816="L", "Light", J816="D", "Dark", TRUE, "")</f>
        <v>Light</v>
      </c>
      <c r="P816" t="str">
        <f>_xlfn.XLOOKUP(Table1[[#This Row],[Customer ID]], customers!$A$1:$A$1001, customers!$I$1:$I$1001,, 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INDEX(Product!$A$1:$G$49,MATCH(orders!$D817,Product!$A$1:$A$49,0),MATCH(orders!I$1,Product!$A$1:$G$1,0))</f>
        <v>Rob</v>
      </c>
      <c r="J817" t="str">
        <f>INDEX(Product!$A$1:$G$49,MATCH(orders!$D817,Product!$A$1:$A$49,0),MATCH(orders!J$1,Product!$A$1:$G$1,0))</f>
        <v>M</v>
      </c>
      <c r="K817" s="4">
        <f>INDEX(Product!$A$1:$G$49,MATCH(orders!$D817,Product!$A$1:$A$49,0),MATCH(orders!K$1,Product!$A$1:$G$1,0))</f>
        <v>0.5</v>
      </c>
      <c r="L817" s="5">
        <f>INDEX(Product!$A$1:$G$49,MATCH(orders!$D817,Product!$A$1:$A$49,0),MATCH(orders!L$1,Product!$A$1:$G$1,0))</f>
        <v>5.97</v>
      </c>
      <c r="M817" s="5">
        <f t="shared" si="12"/>
        <v>35.82</v>
      </c>
      <c r="N817" t="str" cm="1">
        <f t="array" ref="N817">_xlfn.IFS(I817="Rob", "Robusta", I817="Exc", "Excelsa", I817="Ara", "Arabica", I817="Lib", "Liberica", TRUE, "")</f>
        <v>Robusta</v>
      </c>
      <c r="O817" t="str" cm="1">
        <f t="array" ref="O817">_xlfn.IFS(J817="M", "Medium", J817="L", "Light", J817="D", "Dark", TRUE, "")</f>
        <v>Medium</v>
      </c>
      <c r="P817" t="str">
        <f>_xlfn.XLOOKUP(Table1[[#This Row],[Customer ID]], customers!$A$1:$A$1001, customers!$I$1:$I$1001,, 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INDEX(Product!$A$1:$G$49,MATCH(orders!$D818,Product!$A$1:$A$49,0),MATCH(orders!I$1,Product!$A$1:$G$1,0))</f>
        <v>Lib</v>
      </c>
      <c r="J818" t="str">
        <f>INDEX(Product!$A$1:$G$49,MATCH(orders!$D818,Product!$A$1:$A$49,0),MATCH(orders!J$1,Product!$A$1:$G$1,0))</f>
        <v>L</v>
      </c>
      <c r="K818" s="4">
        <f>INDEX(Product!$A$1:$G$49,MATCH(orders!$D818,Product!$A$1:$A$49,0),MATCH(orders!K$1,Product!$A$1:$G$1,0))</f>
        <v>0.5</v>
      </c>
      <c r="L818" s="5">
        <f>INDEX(Product!$A$1:$G$49,MATCH(orders!$D818,Product!$A$1:$A$49,0),MATCH(orders!L$1,Product!$A$1:$G$1,0))</f>
        <v>9.51</v>
      </c>
      <c r="M818" s="5">
        <f t="shared" si="12"/>
        <v>38.04</v>
      </c>
      <c r="N818" t="str" cm="1">
        <f t="array" ref="N818">_xlfn.IFS(I818="Rob", "Robusta", I818="Exc", "Excelsa", I818="Ara", "Arabica", I818="Lib", "Liberica", TRUE, "")</f>
        <v>Liberica</v>
      </c>
      <c r="O818" t="str" cm="1">
        <f t="array" ref="O818">_xlfn.IFS(J818="M", "Medium", J818="L", "Light", J818="D", "Dark", TRUE, "")</f>
        <v>Light</v>
      </c>
      <c r="P818" t="str">
        <f>_xlfn.XLOOKUP(Table1[[#This Row],[Customer ID]], customers!$A$1:$A$1001, customers!$I$1:$I$1001,, 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INDEX(Product!$A$1:$G$49,MATCH(orders!$D819,Product!$A$1:$A$49,0),MATCH(orders!I$1,Product!$A$1:$G$1,0))</f>
        <v>Lib</v>
      </c>
      <c r="J819" t="str">
        <f>INDEX(Product!$A$1:$G$49,MATCH(orders!$D819,Product!$A$1:$A$49,0),MATCH(orders!J$1,Product!$A$1:$G$1,0))</f>
        <v>D</v>
      </c>
      <c r="K819" s="4">
        <f>INDEX(Product!$A$1:$G$49,MATCH(orders!$D819,Product!$A$1:$A$49,0),MATCH(orders!K$1,Product!$A$1:$G$1,0))</f>
        <v>0.5</v>
      </c>
      <c r="L819" s="5">
        <f>INDEX(Product!$A$1:$G$49,MATCH(orders!$D819,Product!$A$1:$A$49,0),MATCH(orders!L$1,Product!$A$1:$G$1,0))</f>
        <v>7.77</v>
      </c>
      <c r="M819" s="5">
        <f t="shared" si="12"/>
        <v>15.54</v>
      </c>
      <c r="N819" t="str" cm="1">
        <f t="array" ref="N819">_xlfn.IFS(I819="Rob", "Robusta", I819="Exc", "Excelsa", I819="Ara", "Arabica", I819="Lib", "Liberica", TRUE, "")</f>
        <v>Liberica</v>
      </c>
      <c r="O819" t="str" cm="1">
        <f t="array" ref="O819">_xlfn.IFS(J819="M", "Medium", J819="L", "Light", J819="D", "Dark", TRUE, "")</f>
        <v>Dark</v>
      </c>
      <c r="P819" t="str">
        <f>_xlfn.XLOOKUP(Table1[[#This Row],[Customer ID]], customers!$A$1:$A$1001, customers!$I$1:$I$1001,, 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INDEX(Product!$A$1:$G$49,MATCH(orders!$D820,Product!$A$1:$A$49,0),MATCH(orders!I$1,Product!$A$1:$G$1,0))</f>
        <v>Lib</v>
      </c>
      <c r="J820" t="str">
        <f>INDEX(Product!$A$1:$G$49,MATCH(orders!$D820,Product!$A$1:$A$49,0),MATCH(orders!J$1,Product!$A$1:$G$1,0))</f>
        <v>L</v>
      </c>
      <c r="K820" s="4">
        <f>INDEX(Product!$A$1:$G$49,MATCH(orders!$D820,Product!$A$1:$A$49,0),MATCH(orders!K$1,Product!$A$1:$G$1,0))</f>
        <v>1</v>
      </c>
      <c r="L820" s="5">
        <f>INDEX(Product!$A$1:$G$49,MATCH(orders!$D820,Product!$A$1:$A$49,0),MATCH(orders!L$1,Product!$A$1:$G$1,0))</f>
        <v>15.85</v>
      </c>
      <c r="M820" s="5">
        <f t="shared" si="12"/>
        <v>79.25</v>
      </c>
      <c r="N820" t="str" cm="1">
        <f t="array" ref="N820">_xlfn.IFS(I820="Rob", "Robusta", I820="Exc", "Excelsa", I820="Ara", "Arabica", I820="Lib", "Liberica", TRUE, "")</f>
        <v>Liberica</v>
      </c>
      <c r="O820" t="str" cm="1">
        <f t="array" ref="O820">_xlfn.IFS(J820="M", "Medium", J820="L", "Light", J820="D", "Dark", TRUE, "")</f>
        <v>Light</v>
      </c>
      <c r="P820" t="str">
        <f>_xlfn.XLOOKUP(Table1[[#This Row],[Customer ID]], customers!$A$1:$A$1001, customers!$I$1:$I$1001,, 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INDEX(Product!$A$1:$G$49,MATCH(orders!$D821,Product!$A$1:$A$49,0),MATCH(orders!I$1,Product!$A$1:$G$1,0))</f>
        <v>Lib</v>
      </c>
      <c r="J821" t="str">
        <f>INDEX(Product!$A$1:$G$49,MATCH(orders!$D821,Product!$A$1:$A$49,0),MATCH(orders!J$1,Product!$A$1:$G$1,0))</f>
        <v>L</v>
      </c>
      <c r="K821" s="4">
        <f>INDEX(Product!$A$1:$G$49,MATCH(orders!$D821,Product!$A$1:$A$49,0),MATCH(orders!K$1,Product!$A$1:$G$1,0))</f>
        <v>0.2</v>
      </c>
      <c r="L821" s="5">
        <f>INDEX(Product!$A$1:$G$49,MATCH(orders!$D821,Product!$A$1:$A$49,0),MATCH(orders!L$1,Product!$A$1:$G$1,0))</f>
        <v>4.7549999999999999</v>
      </c>
      <c r="M821" s="5">
        <f t="shared" si="12"/>
        <v>4.7549999999999999</v>
      </c>
      <c r="N821" t="str" cm="1">
        <f t="array" ref="N821">_xlfn.IFS(I821="Rob", "Robusta", I821="Exc", "Excelsa", I821="Ara", "Arabica", I821="Lib", "Liberica", TRUE, "")</f>
        <v>Liberica</v>
      </c>
      <c r="O821" t="str" cm="1">
        <f t="array" ref="O821">_xlfn.IFS(J821="M", "Medium", J821="L", "Light", J821="D", "Dark", TRUE, "")</f>
        <v>Light</v>
      </c>
      <c r="P821" t="str">
        <f>_xlfn.XLOOKUP(Table1[[#This Row],[Customer ID]], customers!$A$1:$A$1001, customers!$I$1:$I$1001,, 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INDEX(Product!$A$1:$G$49,MATCH(orders!$D822,Product!$A$1:$A$49,0),MATCH(orders!I$1,Product!$A$1:$G$1,0))</f>
        <v>Exc</v>
      </c>
      <c r="J822" t="str">
        <f>INDEX(Product!$A$1:$G$49,MATCH(orders!$D822,Product!$A$1:$A$49,0),MATCH(orders!J$1,Product!$A$1:$G$1,0))</f>
        <v>M</v>
      </c>
      <c r="K822" s="4">
        <f>INDEX(Product!$A$1:$G$49,MATCH(orders!$D822,Product!$A$1:$A$49,0),MATCH(orders!K$1,Product!$A$1:$G$1,0))</f>
        <v>1</v>
      </c>
      <c r="L822" s="5">
        <f>INDEX(Product!$A$1:$G$49,MATCH(orders!$D822,Product!$A$1:$A$49,0),MATCH(orders!L$1,Product!$A$1:$G$1,0))</f>
        <v>13.75</v>
      </c>
      <c r="M822" s="5">
        <f t="shared" si="12"/>
        <v>55</v>
      </c>
      <c r="N822" t="str" cm="1">
        <f t="array" ref="N822">_xlfn.IFS(I822="Rob", "Robusta", I822="Exc", "Excelsa", I822="Ara", "Arabica", I822="Lib", "Liberica", TRUE, "")</f>
        <v>Excelsa</v>
      </c>
      <c r="O822" t="str" cm="1">
        <f t="array" ref="O822">_xlfn.IFS(J822="M", "Medium", J822="L", "Light", J822="D", "Dark", TRUE, "")</f>
        <v>Medium</v>
      </c>
      <c r="P822" t="str">
        <f>_xlfn.XLOOKUP(Table1[[#This Row],[Customer ID]], customers!$A$1:$A$1001, customers!$I$1:$I$1001,, 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INDEX(Product!$A$1:$G$49,MATCH(orders!$D823,Product!$A$1:$A$49,0),MATCH(orders!I$1,Product!$A$1:$G$1,0))</f>
        <v>Rob</v>
      </c>
      <c r="J823" t="str">
        <f>INDEX(Product!$A$1:$G$49,MATCH(orders!$D823,Product!$A$1:$A$49,0),MATCH(orders!J$1,Product!$A$1:$G$1,0))</f>
        <v>D</v>
      </c>
      <c r="K823" s="4">
        <f>INDEX(Product!$A$1:$G$49,MATCH(orders!$D823,Product!$A$1:$A$49,0),MATCH(orders!K$1,Product!$A$1:$G$1,0))</f>
        <v>0.5</v>
      </c>
      <c r="L823" s="5">
        <f>INDEX(Product!$A$1:$G$49,MATCH(orders!$D823,Product!$A$1:$A$49,0),MATCH(orders!L$1,Product!$A$1:$G$1,0))</f>
        <v>5.3699999999999992</v>
      </c>
      <c r="M823" s="5">
        <f t="shared" si="12"/>
        <v>26.849999999999994</v>
      </c>
      <c r="N823" t="str" cm="1">
        <f t="array" ref="N823">_xlfn.IFS(I823="Rob", "Robusta", I823="Exc", "Excelsa", I823="Ara", "Arabica", I823="Lib", "Liberica", TRUE, "")</f>
        <v>Robusta</v>
      </c>
      <c r="O823" t="str" cm="1">
        <f t="array" ref="O823">_xlfn.IFS(J823="M", "Medium", J823="L", "Light", J823="D", "Dark", TRUE, "")</f>
        <v>Dark</v>
      </c>
      <c r="P823" t="str">
        <f>_xlfn.XLOOKUP(Table1[[#This Row],[Customer ID]], customers!$A$1:$A$1001, customers!$I$1:$I$1001,, 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INDEX(Product!$A$1:$G$49,MATCH(orders!$D824,Product!$A$1:$A$49,0),MATCH(orders!I$1,Product!$A$1:$G$1,0))</f>
        <v>Exc</v>
      </c>
      <c r="J824" t="str">
        <f>INDEX(Product!$A$1:$G$49,MATCH(orders!$D824,Product!$A$1:$A$49,0),MATCH(orders!J$1,Product!$A$1:$G$1,0))</f>
        <v>L</v>
      </c>
      <c r="K824" s="4">
        <f>INDEX(Product!$A$1:$G$49,MATCH(orders!$D824,Product!$A$1:$A$49,0),MATCH(orders!K$1,Product!$A$1:$G$1,0))</f>
        <v>2.5</v>
      </c>
      <c r="L824" s="5">
        <f>INDEX(Product!$A$1:$G$49,MATCH(orders!$D824,Product!$A$1:$A$49,0),MATCH(orders!L$1,Product!$A$1:$G$1,0))</f>
        <v>34.154999999999994</v>
      </c>
      <c r="M824" s="5">
        <f t="shared" si="12"/>
        <v>136.61999999999998</v>
      </c>
      <c r="N824" t="str" cm="1">
        <f t="array" ref="N824">_xlfn.IFS(I824="Rob", "Robusta", I824="Exc", "Excelsa", I824="Ara", "Arabica", I824="Lib", "Liberica", TRUE, "")</f>
        <v>Excelsa</v>
      </c>
      <c r="O824" t="str" cm="1">
        <f t="array" ref="O824">_xlfn.IFS(J824="M", "Medium", J824="L", "Light", J824="D", "Dark", TRUE, "")</f>
        <v>Light</v>
      </c>
      <c r="P824" t="str">
        <f>_xlfn.XLOOKUP(Table1[[#This Row],[Customer ID]], customers!$A$1:$A$1001, customers!$I$1:$I$1001,, 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INDEX(Product!$A$1:$G$49,MATCH(orders!$D825,Product!$A$1:$A$49,0),MATCH(orders!I$1,Product!$A$1:$G$1,0))</f>
        <v>Lib</v>
      </c>
      <c r="J825" t="str">
        <f>INDEX(Product!$A$1:$G$49,MATCH(orders!$D825,Product!$A$1:$A$49,0),MATCH(orders!J$1,Product!$A$1:$G$1,0))</f>
        <v>L</v>
      </c>
      <c r="K825" s="4">
        <f>INDEX(Product!$A$1:$G$49,MATCH(orders!$D825,Product!$A$1:$A$49,0),MATCH(orders!K$1,Product!$A$1:$G$1,0))</f>
        <v>1</v>
      </c>
      <c r="L825" s="5">
        <f>INDEX(Product!$A$1:$G$49,MATCH(orders!$D825,Product!$A$1:$A$49,0),MATCH(orders!L$1,Product!$A$1:$G$1,0))</f>
        <v>15.85</v>
      </c>
      <c r="M825" s="5">
        <f t="shared" si="12"/>
        <v>47.55</v>
      </c>
      <c r="N825" t="str" cm="1">
        <f t="array" ref="N825">_xlfn.IFS(I825="Rob", "Robusta", I825="Exc", "Excelsa", I825="Ara", "Arabica", I825="Lib", "Liberica", TRUE, "")</f>
        <v>Liberica</v>
      </c>
      <c r="O825" t="str" cm="1">
        <f t="array" ref="O825">_xlfn.IFS(J825="M", "Medium", J825="L", "Light", J825="D", "Dark", TRUE, "")</f>
        <v>Light</v>
      </c>
      <c r="P825" t="str">
        <f>_xlfn.XLOOKUP(Table1[[#This Row],[Customer ID]], customers!$A$1:$A$1001, customers!$I$1:$I$1001,, 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INDEX(Product!$A$1:$G$49,MATCH(orders!$D826,Product!$A$1:$A$49,0),MATCH(orders!I$1,Product!$A$1:$G$1,0))</f>
        <v>Ara</v>
      </c>
      <c r="J826" t="str">
        <f>INDEX(Product!$A$1:$G$49,MATCH(orders!$D826,Product!$A$1:$A$49,0),MATCH(orders!J$1,Product!$A$1:$G$1,0))</f>
        <v>M</v>
      </c>
      <c r="K826" s="4">
        <f>INDEX(Product!$A$1:$G$49,MATCH(orders!$D826,Product!$A$1:$A$49,0),MATCH(orders!K$1,Product!$A$1:$G$1,0))</f>
        <v>0.2</v>
      </c>
      <c r="L826" s="5">
        <f>INDEX(Product!$A$1:$G$49,MATCH(orders!$D826,Product!$A$1:$A$49,0),MATCH(orders!L$1,Product!$A$1:$G$1,0))</f>
        <v>3.375</v>
      </c>
      <c r="M826" s="5">
        <f t="shared" si="12"/>
        <v>16.875</v>
      </c>
      <c r="N826" t="str" cm="1">
        <f t="array" ref="N826">_xlfn.IFS(I826="Rob", "Robusta", I826="Exc", "Excelsa", I826="Ara", "Arabica", I826="Lib", "Liberica", TRUE, "")</f>
        <v>Arabica</v>
      </c>
      <c r="O826" t="str" cm="1">
        <f t="array" ref="O826">_xlfn.IFS(J826="M", "Medium", J826="L", "Light", J826="D", "Dark", TRUE, "")</f>
        <v>Medium</v>
      </c>
      <c r="P826" t="str">
        <f>_xlfn.XLOOKUP(Table1[[#This Row],[Customer ID]], customers!$A$1:$A$1001, customers!$I$1:$I$1001,, 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INDEX(Product!$A$1:$G$49,MATCH(orders!$D827,Product!$A$1:$A$49,0),MATCH(orders!I$1,Product!$A$1:$G$1,0))</f>
        <v>Ara</v>
      </c>
      <c r="J827" t="str">
        <f>INDEX(Product!$A$1:$G$49,MATCH(orders!$D827,Product!$A$1:$A$49,0),MATCH(orders!J$1,Product!$A$1:$G$1,0))</f>
        <v>D</v>
      </c>
      <c r="K827" s="4">
        <f>INDEX(Product!$A$1:$G$49,MATCH(orders!$D827,Product!$A$1:$A$49,0),MATCH(orders!K$1,Product!$A$1:$G$1,0))</f>
        <v>1</v>
      </c>
      <c r="L827" s="5">
        <f>INDEX(Product!$A$1:$G$49,MATCH(orders!$D827,Product!$A$1:$A$49,0),MATCH(orders!L$1,Product!$A$1:$G$1,0))</f>
        <v>9.9499999999999993</v>
      </c>
      <c r="M827" s="5">
        <f t="shared" si="12"/>
        <v>29.849999999999998</v>
      </c>
      <c r="N827" t="str" cm="1">
        <f t="array" ref="N827">_xlfn.IFS(I827="Rob", "Robusta", I827="Exc", "Excelsa", I827="Ara", "Arabica", I827="Lib", "Liberica", TRUE, "")</f>
        <v>Arabica</v>
      </c>
      <c r="O827" t="str" cm="1">
        <f t="array" ref="O827">_xlfn.IFS(J827="M", "Medium", J827="L", "Light", J827="D", "Dark", TRUE, "")</f>
        <v>Dark</v>
      </c>
      <c r="P827" t="str">
        <f>_xlfn.XLOOKUP(Table1[[#This Row],[Customer ID]], customers!$A$1:$A$1001, customers!$I$1:$I$1001,, 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INDEX(Product!$A$1:$G$49,MATCH(orders!$D828,Product!$A$1:$A$49,0),MATCH(orders!I$1,Product!$A$1:$G$1,0))</f>
        <v>Exc</v>
      </c>
      <c r="J828" t="str">
        <f>INDEX(Product!$A$1:$G$49,MATCH(orders!$D828,Product!$A$1:$A$49,0),MATCH(orders!J$1,Product!$A$1:$G$1,0))</f>
        <v>M</v>
      </c>
      <c r="K828" s="4">
        <f>INDEX(Product!$A$1:$G$49,MATCH(orders!$D828,Product!$A$1:$A$49,0),MATCH(orders!K$1,Product!$A$1:$G$1,0))</f>
        <v>0.5</v>
      </c>
      <c r="L828" s="5">
        <f>INDEX(Product!$A$1:$G$49,MATCH(orders!$D828,Product!$A$1:$A$49,0),MATCH(orders!L$1,Product!$A$1:$G$1,0))</f>
        <v>8.25</v>
      </c>
      <c r="M828" s="5">
        <f t="shared" si="12"/>
        <v>41.25</v>
      </c>
      <c r="N828" t="str" cm="1">
        <f t="array" ref="N828">_xlfn.IFS(I828="Rob", "Robusta", I828="Exc", "Excelsa", I828="Ara", "Arabica", I828="Lib", "Liberica", TRUE, "")</f>
        <v>Excelsa</v>
      </c>
      <c r="O828" t="str" cm="1">
        <f t="array" ref="O828">_xlfn.IFS(J828="M", "Medium", J828="L", "Light", J828="D", "Dark", TRUE, "")</f>
        <v>Medium</v>
      </c>
      <c r="P828" t="str">
        <f>_xlfn.XLOOKUP(Table1[[#This Row],[Customer ID]], customers!$A$1:$A$1001, customers!$I$1:$I$1001,, 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INDEX(Product!$A$1:$G$49,MATCH(orders!$D829,Product!$A$1:$A$49,0),MATCH(orders!I$1,Product!$A$1:$G$1,0))</f>
        <v>Exc</v>
      </c>
      <c r="J829" t="str">
        <f>INDEX(Product!$A$1:$G$49,MATCH(orders!$D829,Product!$A$1:$A$49,0),MATCH(orders!J$1,Product!$A$1:$G$1,0))</f>
        <v>M</v>
      </c>
      <c r="K829" s="4">
        <f>INDEX(Product!$A$1:$G$49,MATCH(orders!$D829,Product!$A$1:$A$49,0),MATCH(orders!K$1,Product!$A$1:$G$1,0))</f>
        <v>0.2</v>
      </c>
      <c r="L829" s="5">
        <f>INDEX(Product!$A$1:$G$49,MATCH(orders!$D829,Product!$A$1:$A$49,0),MATCH(orders!L$1,Product!$A$1:$G$1,0))</f>
        <v>4.125</v>
      </c>
      <c r="M829" s="5">
        <f t="shared" si="12"/>
        <v>20.625</v>
      </c>
      <c r="N829" t="str" cm="1">
        <f t="array" ref="N829">_xlfn.IFS(I829="Rob", "Robusta", I829="Exc", "Excelsa", I829="Ara", "Arabica", I829="Lib", "Liberica", TRUE, "")</f>
        <v>Excelsa</v>
      </c>
      <c r="O829" t="str" cm="1">
        <f t="array" ref="O829">_xlfn.IFS(J829="M", "Medium", J829="L", "Light", J829="D", "Dark", TRUE, "")</f>
        <v>Medium</v>
      </c>
      <c r="P829" t="str">
        <f>_xlfn.XLOOKUP(Table1[[#This Row],[Customer ID]], customers!$A$1:$A$1001, customers!$I$1:$I$1001,, 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INDEX(Product!$A$1:$G$49,MATCH(orders!$D830,Product!$A$1:$A$49,0),MATCH(orders!I$1,Product!$A$1:$G$1,0))</f>
        <v>Ara</v>
      </c>
      <c r="J830" t="str">
        <f>INDEX(Product!$A$1:$G$49,MATCH(orders!$D830,Product!$A$1:$A$49,0),MATCH(orders!J$1,Product!$A$1:$G$1,0))</f>
        <v>D</v>
      </c>
      <c r="K830" s="4">
        <f>INDEX(Product!$A$1:$G$49,MATCH(orders!$D830,Product!$A$1:$A$49,0),MATCH(orders!K$1,Product!$A$1:$G$1,0))</f>
        <v>2.5</v>
      </c>
      <c r="L830" s="5">
        <f>INDEX(Product!$A$1:$G$49,MATCH(orders!$D830,Product!$A$1:$A$49,0),MATCH(orders!L$1,Product!$A$1:$G$1,0))</f>
        <v>22.884999999999998</v>
      </c>
      <c r="M830" s="5">
        <f t="shared" si="12"/>
        <v>137.31</v>
      </c>
      <c r="N830" t="str" cm="1">
        <f t="array" ref="N830">_xlfn.IFS(I830="Rob", "Robusta", I830="Exc", "Excelsa", I830="Ara", "Arabica", I830="Lib", "Liberica", TRUE, "")</f>
        <v>Arabica</v>
      </c>
      <c r="O830" t="str" cm="1">
        <f t="array" ref="O830">_xlfn.IFS(J830="M", "Medium", J830="L", "Light", J830="D", "Dark", TRUE, "")</f>
        <v>Dark</v>
      </c>
      <c r="P830" t="str">
        <f>_xlfn.XLOOKUP(Table1[[#This Row],[Customer ID]], customers!$A$1:$A$1001, customers!$I$1:$I$1001,, 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INDEX(Product!$A$1:$G$49,MATCH(orders!$D831,Product!$A$1:$A$49,0),MATCH(orders!I$1,Product!$A$1:$G$1,0))</f>
        <v>Ara</v>
      </c>
      <c r="J831" t="str">
        <f>INDEX(Product!$A$1:$G$49,MATCH(orders!$D831,Product!$A$1:$A$49,0),MATCH(orders!J$1,Product!$A$1:$G$1,0))</f>
        <v>D</v>
      </c>
      <c r="K831" s="4">
        <f>INDEX(Product!$A$1:$G$49,MATCH(orders!$D831,Product!$A$1:$A$49,0),MATCH(orders!K$1,Product!$A$1:$G$1,0))</f>
        <v>0.2</v>
      </c>
      <c r="L831" s="5">
        <f>INDEX(Product!$A$1:$G$49,MATCH(orders!$D831,Product!$A$1:$A$49,0),MATCH(orders!L$1,Product!$A$1:$G$1,0))</f>
        <v>2.9849999999999999</v>
      </c>
      <c r="M831" s="5">
        <f t="shared" si="12"/>
        <v>2.9849999999999999</v>
      </c>
      <c r="N831" t="str" cm="1">
        <f t="array" ref="N831">_xlfn.IFS(I831="Rob", "Robusta", I831="Exc", "Excelsa", I831="Ara", "Arabica", I831="Lib", "Liberica", TRUE, "")</f>
        <v>Arabica</v>
      </c>
      <c r="O831" t="str" cm="1">
        <f t="array" ref="O831">_xlfn.IFS(J831="M", "Medium", J831="L", "Light", J831="D", "Dark", TRUE, "")</f>
        <v>Dark</v>
      </c>
      <c r="P831" t="str">
        <f>_xlfn.XLOOKUP(Table1[[#This Row],[Customer ID]], customers!$A$1:$A$1001, customers!$I$1:$I$1001,, 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INDEX(Product!$A$1:$G$49,MATCH(orders!$D832,Product!$A$1:$A$49,0),MATCH(orders!I$1,Product!$A$1:$G$1,0))</f>
        <v>Exc</v>
      </c>
      <c r="J832" t="str">
        <f>INDEX(Product!$A$1:$G$49,MATCH(orders!$D832,Product!$A$1:$A$49,0),MATCH(orders!J$1,Product!$A$1:$G$1,0))</f>
        <v>M</v>
      </c>
      <c r="K832" s="4">
        <f>INDEX(Product!$A$1:$G$49,MATCH(orders!$D832,Product!$A$1:$A$49,0),MATCH(orders!K$1,Product!$A$1:$G$1,0))</f>
        <v>1</v>
      </c>
      <c r="L832" s="5">
        <f>INDEX(Product!$A$1:$G$49,MATCH(orders!$D832,Product!$A$1:$A$49,0),MATCH(orders!L$1,Product!$A$1:$G$1,0))</f>
        <v>13.75</v>
      </c>
      <c r="M832" s="5">
        <f t="shared" si="12"/>
        <v>27.5</v>
      </c>
      <c r="N832" t="str" cm="1">
        <f t="array" ref="N832">_xlfn.IFS(I832="Rob", "Robusta", I832="Exc", "Excelsa", I832="Ara", "Arabica", I832="Lib", "Liberica", TRUE, "")</f>
        <v>Excelsa</v>
      </c>
      <c r="O832" t="str" cm="1">
        <f t="array" ref="O832">_xlfn.IFS(J832="M", "Medium", J832="L", "Light", J832="D", "Dark", TRUE, "")</f>
        <v>Medium</v>
      </c>
      <c r="P832" t="str">
        <f>_xlfn.XLOOKUP(Table1[[#This Row],[Customer ID]], customers!$A$1:$A$1001, customers!$I$1:$I$1001,, 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INDEX(Product!$A$1:$G$49,MATCH(orders!$D833,Product!$A$1:$A$49,0),MATCH(orders!I$1,Product!$A$1:$G$1,0))</f>
        <v>Ara</v>
      </c>
      <c r="J833" t="str">
        <f>INDEX(Product!$A$1:$G$49,MATCH(orders!$D833,Product!$A$1:$A$49,0),MATCH(orders!J$1,Product!$A$1:$G$1,0))</f>
        <v>D</v>
      </c>
      <c r="K833" s="4">
        <f>INDEX(Product!$A$1:$G$49,MATCH(orders!$D833,Product!$A$1:$A$49,0),MATCH(orders!K$1,Product!$A$1:$G$1,0))</f>
        <v>0.2</v>
      </c>
      <c r="L833" s="5">
        <f>INDEX(Product!$A$1:$G$49,MATCH(orders!$D833,Product!$A$1:$A$49,0),MATCH(orders!L$1,Product!$A$1:$G$1,0))</f>
        <v>2.9849999999999999</v>
      </c>
      <c r="M833" s="5">
        <f t="shared" si="12"/>
        <v>5.97</v>
      </c>
      <c r="N833" t="str" cm="1">
        <f t="array" ref="N833">_xlfn.IFS(I833="Rob", "Robusta", I833="Exc", "Excelsa", I833="Ara", "Arabica", I833="Lib", "Liberica", TRUE, "")</f>
        <v>Arabica</v>
      </c>
      <c r="O833" t="str" cm="1">
        <f t="array" ref="O833">_xlfn.IFS(J833="M", "Medium", J833="L", "Light", J833="D", "Dark", TRUE, "")</f>
        <v>Dark</v>
      </c>
      <c r="P833" t="str">
        <f>_xlfn.XLOOKUP(Table1[[#This Row],[Customer ID]], customers!$A$1:$A$1001, customers!$I$1:$I$1001,, 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INDEX(Product!$A$1:$G$49,MATCH(orders!$D834,Product!$A$1:$A$49,0),MATCH(orders!I$1,Product!$A$1:$G$1,0))</f>
        <v>Rob</v>
      </c>
      <c r="J834" t="str">
        <f>INDEX(Product!$A$1:$G$49,MATCH(orders!$D834,Product!$A$1:$A$49,0),MATCH(orders!J$1,Product!$A$1:$G$1,0))</f>
        <v>M</v>
      </c>
      <c r="K834" s="4">
        <f>INDEX(Product!$A$1:$G$49,MATCH(orders!$D834,Product!$A$1:$A$49,0),MATCH(orders!K$1,Product!$A$1:$G$1,0))</f>
        <v>1</v>
      </c>
      <c r="L834" s="5">
        <f>INDEX(Product!$A$1:$G$49,MATCH(orders!$D834,Product!$A$1:$A$49,0),MATCH(orders!L$1,Product!$A$1:$G$1,0))</f>
        <v>9.9499999999999993</v>
      </c>
      <c r="M834" s="5">
        <f t="shared" ref="M834:M897" si="13">L834*E834</f>
        <v>59.699999999999996</v>
      </c>
      <c r="N834" t="str" cm="1">
        <f t="array" ref="N834">_xlfn.IFS(I834="Rob", "Robusta", I834="Exc", "Excelsa", I834="Ara", "Arabica", I834="Lib", "Liberica", TRUE, "")</f>
        <v>Robusta</v>
      </c>
      <c r="O834" t="str" cm="1">
        <f t="array" ref="O834">_xlfn.IFS(J834="M", "Medium", J834="L", "Light", J834="D", "Dark", TRUE, "")</f>
        <v>Medium</v>
      </c>
      <c r="P834" t="str">
        <f>_xlfn.XLOOKUP(Table1[[#This Row],[Customer ID]], customers!$A$1:$A$1001, customers!$I$1:$I$1001,, 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INDEX(Product!$A$1:$G$49,MATCH(orders!$D835,Product!$A$1:$A$49,0),MATCH(orders!I$1,Product!$A$1:$G$1,0))</f>
        <v>Rob</v>
      </c>
      <c r="J835" t="str">
        <f>INDEX(Product!$A$1:$G$49,MATCH(orders!$D835,Product!$A$1:$A$49,0),MATCH(orders!J$1,Product!$A$1:$G$1,0))</f>
        <v>D</v>
      </c>
      <c r="K835" s="4">
        <f>INDEX(Product!$A$1:$G$49,MATCH(orders!$D835,Product!$A$1:$A$49,0),MATCH(orders!K$1,Product!$A$1:$G$1,0))</f>
        <v>2.5</v>
      </c>
      <c r="L835" s="5">
        <f>INDEX(Product!$A$1:$G$49,MATCH(orders!$D835,Product!$A$1:$A$49,0),MATCH(orders!L$1,Product!$A$1:$G$1,0))</f>
        <v>20.584999999999997</v>
      </c>
      <c r="M835" s="5">
        <f t="shared" si="13"/>
        <v>82.339999999999989</v>
      </c>
      <c r="N835" t="str" cm="1">
        <f t="array" ref="N835">_xlfn.IFS(I835="Rob", "Robusta", I835="Exc", "Excelsa", I835="Ara", "Arabica", I835="Lib", "Liberica", TRUE, "")</f>
        <v>Robusta</v>
      </c>
      <c r="O835" t="str" cm="1">
        <f t="array" ref="O835">_xlfn.IFS(J835="M", "Medium", J835="L", "Light", J835="D", "Dark", TRUE, "")</f>
        <v>Dark</v>
      </c>
      <c r="P835" t="str">
        <f>_xlfn.XLOOKUP(Table1[[#This Row],[Customer ID]], customers!$A$1:$A$1001, customers!$I$1:$I$1001,, 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INDEX(Product!$A$1:$G$49,MATCH(orders!$D836,Product!$A$1:$A$49,0),MATCH(orders!I$1,Product!$A$1:$G$1,0))</f>
        <v>Ara</v>
      </c>
      <c r="J836" t="str">
        <f>INDEX(Product!$A$1:$G$49,MATCH(orders!$D836,Product!$A$1:$A$49,0),MATCH(orders!J$1,Product!$A$1:$G$1,0))</f>
        <v>D</v>
      </c>
      <c r="K836" s="4">
        <f>INDEX(Product!$A$1:$G$49,MATCH(orders!$D836,Product!$A$1:$A$49,0),MATCH(orders!K$1,Product!$A$1:$G$1,0))</f>
        <v>2.5</v>
      </c>
      <c r="L836" s="5">
        <f>INDEX(Product!$A$1:$G$49,MATCH(orders!$D836,Product!$A$1:$A$49,0),MATCH(orders!L$1,Product!$A$1:$G$1,0))</f>
        <v>22.884999999999998</v>
      </c>
      <c r="M836" s="5">
        <f t="shared" si="13"/>
        <v>22.884999999999998</v>
      </c>
      <c r="N836" t="str" cm="1">
        <f t="array" ref="N836">_xlfn.IFS(I836="Rob", "Robusta", I836="Exc", "Excelsa", I836="Ara", "Arabica", I836="Lib", "Liberica", TRUE, "")</f>
        <v>Arabica</v>
      </c>
      <c r="O836" t="str" cm="1">
        <f t="array" ref="O836">_xlfn.IFS(J836="M", "Medium", J836="L", "Light", J836="D", "Dark", TRUE, "")</f>
        <v>Dark</v>
      </c>
      <c r="P836" t="str">
        <f>_xlfn.XLOOKUP(Table1[[#This Row],[Customer ID]], customers!$A$1:$A$1001, customers!$I$1:$I$1001,, 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INDEX(Product!$A$1:$G$49,MATCH(orders!$D837,Product!$A$1:$A$49,0),MATCH(orders!I$1,Product!$A$1:$G$1,0))</f>
        <v>Exc</v>
      </c>
      <c r="J837" t="str">
        <f>INDEX(Product!$A$1:$G$49,MATCH(orders!$D837,Product!$A$1:$A$49,0),MATCH(orders!J$1,Product!$A$1:$G$1,0))</f>
        <v>L</v>
      </c>
      <c r="K837" s="4">
        <f>INDEX(Product!$A$1:$G$49,MATCH(orders!$D837,Product!$A$1:$A$49,0),MATCH(orders!K$1,Product!$A$1:$G$1,0))</f>
        <v>0.5</v>
      </c>
      <c r="L837" s="5">
        <f>INDEX(Product!$A$1:$G$49,MATCH(orders!$D837,Product!$A$1:$A$49,0),MATCH(orders!L$1,Product!$A$1:$G$1,0))</f>
        <v>8.91</v>
      </c>
      <c r="M837" s="5">
        <f t="shared" si="13"/>
        <v>8.91</v>
      </c>
      <c r="N837" t="str" cm="1">
        <f t="array" ref="N837">_xlfn.IFS(I837="Rob", "Robusta", I837="Exc", "Excelsa", I837="Ara", "Arabica", I837="Lib", "Liberica", TRUE, "")</f>
        <v>Excelsa</v>
      </c>
      <c r="O837" t="str" cm="1">
        <f t="array" ref="O837">_xlfn.IFS(J837="M", "Medium", J837="L", "Light", J837="D", "Dark", TRUE, "")</f>
        <v>Light</v>
      </c>
      <c r="P837" t="str">
        <f>_xlfn.XLOOKUP(Table1[[#This Row],[Customer ID]], customers!$A$1:$A$1001, customers!$I$1:$I$1001,, 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INDEX(Product!$A$1:$G$49,MATCH(orders!$D838,Product!$A$1:$A$49,0),MATCH(orders!I$1,Product!$A$1:$G$1,0))</f>
        <v>Ara</v>
      </c>
      <c r="J838" t="str">
        <f>INDEX(Product!$A$1:$G$49,MATCH(orders!$D838,Product!$A$1:$A$49,0),MATCH(orders!J$1,Product!$A$1:$G$1,0))</f>
        <v>D</v>
      </c>
      <c r="K838" s="4">
        <f>INDEX(Product!$A$1:$G$49,MATCH(orders!$D838,Product!$A$1:$A$49,0),MATCH(orders!K$1,Product!$A$1:$G$1,0))</f>
        <v>0.2</v>
      </c>
      <c r="L838" s="5">
        <f>INDEX(Product!$A$1:$G$49,MATCH(orders!$D838,Product!$A$1:$A$49,0),MATCH(orders!L$1,Product!$A$1:$G$1,0))</f>
        <v>2.9849999999999999</v>
      </c>
      <c r="M838" s="5">
        <f t="shared" si="13"/>
        <v>11.94</v>
      </c>
      <c r="N838" t="str" cm="1">
        <f t="array" ref="N838">_xlfn.IFS(I838="Rob", "Robusta", I838="Exc", "Excelsa", I838="Ara", "Arabica", I838="Lib", "Liberica", TRUE, "")</f>
        <v>Arabica</v>
      </c>
      <c r="O838" t="str" cm="1">
        <f t="array" ref="O838">_xlfn.IFS(J838="M", "Medium", J838="L", "Light", J838="D", "Dark", TRUE, "")</f>
        <v>Dark</v>
      </c>
      <c r="P838" t="str">
        <f>_xlfn.XLOOKUP(Table1[[#This Row],[Customer ID]], customers!$A$1:$A$1001, customers!$I$1:$I$1001,, 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INDEX(Product!$A$1:$G$49,MATCH(orders!$D839,Product!$A$1:$A$49,0),MATCH(orders!I$1,Product!$A$1:$G$1,0))</f>
        <v>Lib</v>
      </c>
      <c r="J839" t="str">
        <f>INDEX(Product!$A$1:$G$49,MATCH(orders!$D839,Product!$A$1:$A$49,0),MATCH(orders!J$1,Product!$A$1:$G$1,0))</f>
        <v>M</v>
      </c>
      <c r="K839" s="4">
        <f>INDEX(Product!$A$1:$G$49,MATCH(orders!$D839,Product!$A$1:$A$49,0),MATCH(orders!K$1,Product!$A$1:$G$1,0))</f>
        <v>2.5</v>
      </c>
      <c r="L839" s="5">
        <f>INDEX(Product!$A$1:$G$49,MATCH(orders!$D839,Product!$A$1:$A$49,0),MATCH(orders!L$1,Product!$A$1:$G$1,0))</f>
        <v>33.464999999999996</v>
      </c>
      <c r="M839" s="5">
        <f t="shared" si="13"/>
        <v>100.39499999999998</v>
      </c>
      <c r="N839" t="str" cm="1">
        <f t="array" ref="N839">_xlfn.IFS(I839="Rob", "Robusta", I839="Exc", "Excelsa", I839="Ara", "Arabica", I839="Lib", "Liberica", TRUE, "")</f>
        <v>Liberica</v>
      </c>
      <c r="O839" t="str" cm="1">
        <f t="array" ref="O839">_xlfn.IFS(J839="M", "Medium", J839="L", "Light", J839="D", "Dark", TRUE, "")</f>
        <v>Medium</v>
      </c>
      <c r="P839" t="str">
        <f>_xlfn.XLOOKUP(Table1[[#This Row],[Customer ID]], customers!$A$1:$A$1001, customers!$I$1:$I$1001,, 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INDEX(Product!$A$1:$G$49,MATCH(orders!$D840,Product!$A$1:$A$49,0),MATCH(orders!I$1,Product!$A$1:$G$1,0))</f>
        <v>Ara</v>
      </c>
      <c r="J840" t="str">
        <f>INDEX(Product!$A$1:$G$49,MATCH(orders!$D840,Product!$A$1:$A$49,0),MATCH(orders!J$1,Product!$A$1:$G$1,0))</f>
        <v>D</v>
      </c>
      <c r="K840" s="4">
        <f>INDEX(Product!$A$1:$G$49,MATCH(orders!$D840,Product!$A$1:$A$49,0),MATCH(orders!K$1,Product!$A$1:$G$1,0))</f>
        <v>2.5</v>
      </c>
      <c r="L840" s="5">
        <f>INDEX(Product!$A$1:$G$49,MATCH(orders!$D840,Product!$A$1:$A$49,0),MATCH(orders!L$1,Product!$A$1:$G$1,0))</f>
        <v>22.884999999999998</v>
      </c>
      <c r="M840" s="5">
        <f t="shared" si="13"/>
        <v>114.42499999999998</v>
      </c>
      <c r="N840" t="str" cm="1">
        <f t="array" ref="N840">_xlfn.IFS(I840="Rob", "Robusta", I840="Exc", "Excelsa", I840="Ara", "Arabica", I840="Lib", "Liberica", TRUE, "")</f>
        <v>Arabica</v>
      </c>
      <c r="O840" t="str" cm="1">
        <f t="array" ref="O840">_xlfn.IFS(J840="M", "Medium", J840="L", "Light", J840="D", "Dark", TRUE, "")</f>
        <v>Dark</v>
      </c>
      <c r="P840" t="str">
        <f>_xlfn.XLOOKUP(Table1[[#This Row],[Customer ID]], customers!$A$1:$A$1001, customers!$I$1:$I$1001,, 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INDEX(Product!$A$1:$G$49,MATCH(orders!$D841,Product!$A$1:$A$49,0),MATCH(orders!I$1,Product!$A$1:$G$1,0))</f>
        <v>Exc</v>
      </c>
      <c r="J841" t="str">
        <f>INDEX(Product!$A$1:$G$49,MATCH(orders!$D841,Product!$A$1:$A$49,0),MATCH(orders!J$1,Product!$A$1:$G$1,0))</f>
        <v>M</v>
      </c>
      <c r="K841" s="4">
        <f>INDEX(Product!$A$1:$G$49,MATCH(orders!$D841,Product!$A$1:$A$49,0),MATCH(orders!K$1,Product!$A$1:$G$1,0))</f>
        <v>0.5</v>
      </c>
      <c r="L841" s="5">
        <f>INDEX(Product!$A$1:$G$49,MATCH(orders!$D841,Product!$A$1:$A$49,0),MATCH(orders!L$1,Product!$A$1:$G$1,0))</f>
        <v>8.25</v>
      </c>
      <c r="M841" s="5">
        <f t="shared" si="13"/>
        <v>41.25</v>
      </c>
      <c r="N841" t="str" cm="1">
        <f t="array" ref="N841">_xlfn.IFS(I841="Rob", "Robusta", I841="Exc", "Excelsa", I841="Ara", "Arabica", I841="Lib", "Liberica", TRUE, "")</f>
        <v>Excelsa</v>
      </c>
      <c r="O841" t="str" cm="1">
        <f t="array" ref="O841">_xlfn.IFS(J841="M", "Medium", J841="L", "Light", J841="D", "Dark", TRUE, "")</f>
        <v>Medium</v>
      </c>
      <c r="P841" t="str">
        <f>_xlfn.XLOOKUP(Table1[[#This Row],[Customer ID]], customers!$A$1:$A$1001, customers!$I$1:$I$1001,, 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INDEX(Product!$A$1:$G$49,MATCH(orders!$D842,Product!$A$1:$A$49,0),MATCH(orders!I$1,Product!$A$1:$G$1,0))</f>
        <v>Rob</v>
      </c>
      <c r="J842" t="str">
        <f>INDEX(Product!$A$1:$G$49,MATCH(orders!$D842,Product!$A$1:$A$49,0),MATCH(orders!J$1,Product!$A$1:$G$1,0))</f>
        <v>L</v>
      </c>
      <c r="K842" s="4">
        <f>INDEX(Product!$A$1:$G$49,MATCH(orders!$D842,Product!$A$1:$A$49,0),MATCH(orders!K$1,Product!$A$1:$G$1,0))</f>
        <v>0.5</v>
      </c>
      <c r="L842" s="5">
        <f>INDEX(Product!$A$1:$G$49,MATCH(orders!$D842,Product!$A$1:$A$49,0),MATCH(orders!L$1,Product!$A$1:$G$1,0))</f>
        <v>7.169999999999999</v>
      </c>
      <c r="M842" s="5">
        <f t="shared" si="13"/>
        <v>28.679999999999996</v>
      </c>
      <c r="N842" t="str" cm="1">
        <f t="array" ref="N842">_xlfn.IFS(I842="Rob", "Robusta", I842="Exc", "Excelsa", I842="Ara", "Arabica", I842="Lib", "Liberica", TRUE, "")</f>
        <v>Robusta</v>
      </c>
      <c r="O842" t="str" cm="1">
        <f t="array" ref="O842">_xlfn.IFS(J842="M", "Medium", J842="L", "Light", J842="D", "Dark", TRUE, "")</f>
        <v>Light</v>
      </c>
      <c r="P842" t="str">
        <f>_xlfn.XLOOKUP(Table1[[#This Row],[Customer ID]], customers!$A$1:$A$1001, customers!$I$1:$I$1001,, 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INDEX(Product!$A$1:$G$49,MATCH(orders!$D843,Product!$A$1:$A$49,0),MATCH(orders!I$1,Product!$A$1:$G$1,0))</f>
        <v>Lib</v>
      </c>
      <c r="J843" t="str">
        <f>INDEX(Product!$A$1:$G$49,MATCH(orders!$D843,Product!$A$1:$A$49,0),MATCH(orders!J$1,Product!$A$1:$G$1,0))</f>
        <v>M</v>
      </c>
      <c r="K843" s="4">
        <f>INDEX(Product!$A$1:$G$49,MATCH(orders!$D843,Product!$A$1:$A$49,0),MATCH(orders!K$1,Product!$A$1:$G$1,0))</f>
        <v>0.2</v>
      </c>
      <c r="L843" s="5">
        <f>INDEX(Product!$A$1:$G$49,MATCH(orders!$D843,Product!$A$1:$A$49,0),MATCH(orders!L$1,Product!$A$1:$G$1,0))</f>
        <v>4.3650000000000002</v>
      </c>
      <c r="M843" s="5">
        <f t="shared" si="13"/>
        <v>4.3650000000000002</v>
      </c>
      <c r="N843" t="str" cm="1">
        <f t="array" ref="N843">_xlfn.IFS(I843="Rob", "Robusta", I843="Exc", "Excelsa", I843="Ara", "Arabica", I843="Lib", "Liberica", TRUE, "")</f>
        <v>Liberica</v>
      </c>
      <c r="O843" t="str" cm="1">
        <f t="array" ref="O843">_xlfn.IFS(J843="M", "Medium", J843="L", "Light", J843="D", "Dark", TRUE, "")</f>
        <v>Medium</v>
      </c>
      <c r="P843" t="str">
        <f>_xlfn.XLOOKUP(Table1[[#This Row],[Customer ID]], customers!$A$1:$A$1001, customers!$I$1:$I$1001,, 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INDEX(Product!$A$1:$G$49,MATCH(orders!$D844,Product!$A$1:$A$49,0),MATCH(orders!I$1,Product!$A$1:$G$1,0))</f>
        <v>Exc</v>
      </c>
      <c r="J844" t="str">
        <f>INDEX(Product!$A$1:$G$49,MATCH(orders!$D844,Product!$A$1:$A$49,0),MATCH(orders!J$1,Product!$A$1:$G$1,0))</f>
        <v>M</v>
      </c>
      <c r="K844" s="4">
        <f>INDEX(Product!$A$1:$G$49,MATCH(orders!$D844,Product!$A$1:$A$49,0),MATCH(orders!K$1,Product!$A$1:$G$1,0))</f>
        <v>0.2</v>
      </c>
      <c r="L844" s="5">
        <f>INDEX(Product!$A$1:$G$49,MATCH(orders!$D844,Product!$A$1:$A$49,0),MATCH(orders!L$1,Product!$A$1:$G$1,0))</f>
        <v>4.125</v>
      </c>
      <c r="M844" s="5">
        <f t="shared" si="13"/>
        <v>8.25</v>
      </c>
      <c r="N844" t="str" cm="1">
        <f t="array" ref="N844">_xlfn.IFS(I844="Rob", "Robusta", I844="Exc", "Excelsa", I844="Ara", "Arabica", I844="Lib", "Liberica", TRUE, "")</f>
        <v>Excelsa</v>
      </c>
      <c r="O844" t="str" cm="1">
        <f t="array" ref="O844">_xlfn.IFS(J844="M", "Medium", J844="L", "Light", J844="D", "Dark", TRUE, "")</f>
        <v>Medium</v>
      </c>
      <c r="P844" t="str">
        <f>_xlfn.XLOOKUP(Table1[[#This Row],[Customer ID]], customers!$A$1:$A$1001, customers!$I$1:$I$1001,, 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INDEX(Product!$A$1:$G$49,MATCH(orders!$D845,Product!$A$1:$A$49,0),MATCH(orders!I$1,Product!$A$1:$G$1,0))</f>
        <v>Exc</v>
      </c>
      <c r="J845" t="str">
        <f>INDEX(Product!$A$1:$G$49,MATCH(orders!$D845,Product!$A$1:$A$49,0),MATCH(orders!J$1,Product!$A$1:$G$1,0))</f>
        <v>M</v>
      </c>
      <c r="K845" s="4">
        <f>INDEX(Product!$A$1:$G$49,MATCH(orders!$D845,Product!$A$1:$A$49,0),MATCH(orders!K$1,Product!$A$1:$G$1,0))</f>
        <v>0.2</v>
      </c>
      <c r="L845" s="5">
        <f>INDEX(Product!$A$1:$G$49,MATCH(orders!$D845,Product!$A$1:$A$49,0),MATCH(orders!L$1,Product!$A$1:$G$1,0))</f>
        <v>4.125</v>
      </c>
      <c r="M845" s="5">
        <f t="shared" si="13"/>
        <v>8.25</v>
      </c>
      <c r="N845" t="str" cm="1">
        <f t="array" ref="N845">_xlfn.IFS(I845="Rob", "Robusta", I845="Exc", "Excelsa", I845="Ara", "Arabica", I845="Lib", "Liberica", TRUE, "")</f>
        <v>Excelsa</v>
      </c>
      <c r="O845" t="str" cm="1">
        <f t="array" ref="O845">_xlfn.IFS(J845="M", "Medium", J845="L", "Light", J845="D", "Dark", TRUE, "")</f>
        <v>Medium</v>
      </c>
      <c r="P845" t="str">
        <f>_xlfn.XLOOKUP(Table1[[#This Row],[Customer ID]], customers!$A$1:$A$1001, customers!$I$1:$I$1001,, 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INDEX(Product!$A$1:$G$49,MATCH(orders!$D846,Product!$A$1:$A$49,0),MATCH(orders!I$1,Product!$A$1:$G$1,0))</f>
        <v>Ara</v>
      </c>
      <c r="J846" t="str">
        <f>INDEX(Product!$A$1:$G$49,MATCH(orders!$D846,Product!$A$1:$A$49,0),MATCH(orders!J$1,Product!$A$1:$G$1,0))</f>
        <v>D</v>
      </c>
      <c r="K846" s="4">
        <f>INDEX(Product!$A$1:$G$49,MATCH(orders!$D846,Product!$A$1:$A$49,0),MATCH(orders!K$1,Product!$A$1:$G$1,0))</f>
        <v>0.5</v>
      </c>
      <c r="L846" s="5">
        <f>INDEX(Product!$A$1:$G$49,MATCH(orders!$D846,Product!$A$1:$A$49,0),MATCH(orders!L$1,Product!$A$1:$G$1,0))</f>
        <v>5.97</v>
      </c>
      <c r="M846" s="5">
        <f t="shared" si="13"/>
        <v>35.82</v>
      </c>
      <c r="N846" t="str" cm="1">
        <f t="array" ref="N846">_xlfn.IFS(I846="Rob", "Robusta", I846="Exc", "Excelsa", I846="Ara", "Arabica", I846="Lib", "Liberica", TRUE, "")</f>
        <v>Arabica</v>
      </c>
      <c r="O846" t="str" cm="1">
        <f t="array" ref="O846">_xlfn.IFS(J846="M", "Medium", J846="L", "Light", J846="D", "Dark", TRUE, "")</f>
        <v>Dark</v>
      </c>
      <c r="P846" t="str">
        <f>_xlfn.XLOOKUP(Table1[[#This Row],[Customer ID]], customers!$A$1:$A$1001, customers!$I$1:$I$1001,, 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INDEX(Product!$A$1:$G$49,MATCH(orders!$D847,Product!$A$1:$A$49,0),MATCH(orders!I$1,Product!$A$1:$G$1,0))</f>
        <v>Exc</v>
      </c>
      <c r="J847" t="str">
        <f>INDEX(Product!$A$1:$G$49,MATCH(orders!$D847,Product!$A$1:$A$49,0),MATCH(orders!J$1,Product!$A$1:$G$1,0))</f>
        <v>D</v>
      </c>
      <c r="K847" s="4">
        <f>INDEX(Product!$A$1:$G$49,MATCH(orders!$D847,Product!$A$1:$A$49,0),MATCH(orders!K$1,Product!$A$1:$G$1,0))</f>
        <v>2.5</v>
      </c>
      <c r="L847" s="5">
        <f>INDEX(Product!$A$1:$G$49,MATCH(orders!$D847,Product!$A$1:$A$49,0),MATCH(orders!L$1,Product!$A$1:$G$1,0))</f>
        <v>27.945</v>
      </c>
      <c r="M847" s="5">
        <f t="shared" si="13"/>
        <v>167.67000000000002</v>
      </c>
      <c r="N847" t="str" cm="1">
        <f t="array" ref="N847">_xlfn.IFS(I847="Rob", "Robusta", I847="Exc", "Excelsa", I847="Ara", "Arabica", I847="Lib", "Liberica", TRUE, "")</f>
        <v>Excelsa</v>
      </c>
      <c r="O847" t="str" cm="1">
        <f t="array" ref="O847">_xlfn.IFS(J847="M", "Medium", J847="L", "Light", J847="D", "Dark", TRUE, "")</f>
        <v>Dark</v>
      </c>
      <c r="P847" t="str">
        <f>_xlfn.XLOOKUP(Table1[[#This Row],[Customer ID]], customers!$A$1:$A$1001, customers!$I$1:$I$1001,, 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INDEX(Product!$A$1:$G$49,MATCH(orders!$D848,Product!$A$1:$A$49,0),MATCH(orders!I$1,Product!$A$1:$G$1,0))</f>
        <v>Ara</v>
      </c>
      <c r="J848" t="str">
        <f>INDEX(Product!$A$1:$G$49,MATCH(orders!$D848,Product!$A$1:$A$49,0),MATCH(orders!J$1,Product!$A$1:$G$1,0))</f>
        <v>M</v>
      </c>
      <c r="K848" s="4">
        <f>INDEX(Product!$A$1:$G$49,MATCH(orders!$D848,Product!$A$1:$A$49,0),MATCH(orders!K$1,Product!$A$1:$G$1,0))</f>
        <v>2.5</v>
      </c>
      <c r="L848" s="5">
        <f>INDEX(Product!$A$1:$G$49,MATCH(orders!$D848,Product!$A$1:$A$49,0),MATCH(orders!L$1,Product!$A$1:$G$1,0))</f>
        <v>25.874999999999996</v>
      </c>
      <c r="M848" s="5">
        <f t="shared" si="13"/>
        <v>51.749999999999993</v>
      </c>
      <c r="N848" t="str" cm="1">
        <f t="array" ref="N848">_xlfn.IFS(I848="Rob", "Robusta", I848="Exc", "Excelsa", I848="Ara", "Arabica", I848="Lib", "Liberica", TRUE, "")</f>
        <v>Arabica</v>
      </c>
      <c r="O848" t="str" cm="1">
        <f t="array" ref="O848">_xlfn.IFS(J848="M", "Medium", J848="L", "Light", J848="D", "Dark", TRUE, "")</f>
        <v>Medium</v>
      </c>
      <c r="P848" t="str">
        <f>_xlfn.XLOOKUP(Table1[[#This Row],[Customer ID]], customers!$A$1:$A$1001, customers!$I$1:$I$1001,, 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INDEX(Product!$A$1:$G$49,MATCH(orders!$D849,Product!$A$1:$A$49,0),MATCH(orders!I$1,Product!$A$1:$G$1,0))</f>
        <v>Ara</v>
      </c>
      <c r="J849" t="str">
        <f>INDEX(Product!$A$1:$G$49,MATCH(orders!$D849,Product!$A$1:$A$49,0),MATCH(orders!J$1,Product!$A$1:$G$1,0))</f>
        <v>D</v>
      </c>
      <c r="K849" s="4">
        <f>INDEX(Product!$A$1:$G$49,MATCH(orders!$D849,Product!$A$1:$A$49,0),MATCH(orders!K$1,Product!$A$1:$G$1,0))</f>
        <v>0.2</v>
      </c>
      <c r="L849" s="5">
        <f>INDEX(Product!$A$1:$G$49,MATCH(orders!$D849,Product!$A$1:$A$49,0),MATCH(orders!L$1,Product!$A$1:$G$1,0))</f>
        <v>2.9849999999999999</v>
      </c>
      <c r="M849" s="5">
        <f t="shared" si="13"/>
        <v>8.9550000000000001</v>
      </c>
      <c r="N849" t="str" cm="1">
        <f t="array" ref="N849">_xlfn.IFS(I849="Rob", "Robusta", I849="Exc", "Excelsa", I849="Ara", "Arabica", I849="Lib", "Liberica", TRUE, "")</f>
        <v>Arabica</v>
      </c>
      <c r="O849" t="str" cm="1">
        <f t="array" ref="O849">_xlfn.IFS(J849="M", "Medium", J849="L", "Light", J849="D", "Dark", TRUE, "")</f>
        <v>Dark</v>
      </c>
      <c r="P849" t="str">
        <f>_xlfn.XLOOKUP(Table1[[#This Row],[Customer ID]], customers!$A$1:$A$1001, customers!$I$1:$I$1001,, 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INDEX(Product!$A$1:$G$49,MATCH(orders!$D850,Product!$A$1:$A$49,0),MATCH(orders!I$1,Product!$A$1:$G$1,0))</f>
        <v>Exc</v>
      </c>
      <c r="J850" t="str">
        <f>INDEX(Product!$A$1:$G$49,MATCH(orders!$D850,Product!$A$1:$A$49,0),MATCH(orders!J$1,Product!$A$1:$G$1,0))</f>
        <v>L</v>
      </c>
      <c r="K850" s="4">
        <f>INDEX(Product!$A$1:$G$49,MATCH(orders!$D850,Product!$A$1:$A$49,0),MATCH(orders!K$1,Product!$A$1:$G$1,0))</f>
        <v>0.5</v>
      </c>
      <c r="L850" s="5">
        <f>INDEX(Product!$A$1:$G$49,MATCH(orders!$D850,Product!$A$1:$A$49,0),MATCH(orders!L$1,Product!$A$1:$G$1,0))</f>
        <v>8.91</v>
      </c>
      <c r="M850" s="5">
        <f t="shared" si="13"/>
        <v>53.46</v>
      </c>
      <c r="N850" t="str" cm="1">
        <f t="array" ref="N850">_xlfn.IFS(I850="Rob", "Robusta", I850="Exc", "Excelsa", I850="Ara", "Arabica", I850="Lib", "Liberica", TRUE, "")</f>
        <v>Excelsa</v>
      </c>
      <c r="O850" t="str" cm="1">
        <f t="array" ref="O850">_xlfn.IFS(J850="M", "Medium", J850="L", "Light", J850="D", "Dark", TRUE, "")</f>
        <v>Light</v>
      </c>
      <c r="P850" t="str">
        <f>_xlfn.XLOOKUP(Table1[[#This Row],[Customer ID]], customers!$A$1:$A$1001, customers!$I$1:$I$1001,, 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INDEX(Product!$A$1:$G$49,MATCH(orders!$D851,Product!$A$1:$A$49,0),MATCH(orders!I$1,Product!$A$1:$G$1,0))</f>
        <v>Ara</v>
      </c>
      <c r="J851" t="str">
        <f>INDEX(Product!$A$1:$G$49,MATCH(orders!$D851,Product!$A$1:$A$49,0),MATCH(orders!J$1,Product!$A$1:$G$1,0))</f>
        <v>L</v>
      </c>
      <c r="K851" s="4">
        <f>INDEX(Product!$A$1:$G$49,MATCH(orders!$D851,Product!$A$1:$A$49,0),MATCH(orders!K$1,Product!$A$1:$G$1,0))</f>
        <v>0.2</v>
      </c>
      <c r="L851" s="5">
        <f>INDEX(Product!$A$1:$G$49,MATCH(orders!$D851,Product!$A$1:$A$49,0),MATCH(orders!L$1,Product!$A$1:$G$1,0))</f>
        <v>3.8849999999999998</v>
      </c>
      <c r="M851" s="5">
        <f t="shared" si="13"/>
        <v>23.31</v>
      </c>
      <c r="N851" t="str" cm="1">
        <f t="array" ref="N851">_xlfn.IFS(I851="Rob", "Robusta", I851="Exc", "Excelsa", I851="Ara", "Arabica", I851="Lib", "Liberica", TRUE, "")</f>
        <v>Arabica</v>
      </c>
      <c r="O851" t="str" cm="1">
        <f t="array" ref="O851">_xlfn.IFS(J851="M", "Medium", J851="L", "Light", J851="D", "Dark", TRUE, "")</f>
        <v>Light</v>
      </c>
      <c r="P851" t="str">
        <f>_xlfn.XLOOKUP(Table1[[#This Row],[Customer ID]], customers!$A$1:$A$1001, customers!$I$1:$I$1001,, 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INDEX(Product!$A$1:$G$49,MATCH(orders!$D852,Product!$A$1:$A$49,0),MATCH(orders!I$1,Product!$A$1:$G$1,0))</f>
        <v>Ara</v>
      </c>
      <c r="J852" t="str">
        <f>INDEX(Product!$A$1:$G$49,MATCH(orders!$D852,Product!$A$1:$A$49,0),MATCH(orders!J$1,Product!$A$1:$G$1,0))</f>
        <v>M</v>
      </c>
      <c r="K852" s="4">
        <f>INDEX(Product!$A$1:$G$49,MATCH(orders!$D852,Product!$A$1:$A$49,0),MATCH(orders!K$1,Product!$A$1:$G$1,0))</f>
        <v>0.2</v>
      </c>
      <c r="L852" s="5">
        <f>INDEX(Product!$A$1:$G$49,MATCH(orders!$D852,Product!$A$1:$A$49,0),MATCH(orders!L$1,Product!$A$1:$G$1,0))</f>
        <v>3.375</v>
      </c>
      <c r="M852" s="5">
        <f t="shared" si="13"/>
        <v>6.75</v>
      </c>
      <c r="N852" t="str" cm="1">
        <f t="array" ref="N852">_xlfn.IFS(I852="Rob", "Robusta", I852="Exc", "Excelsa", I852="Ara", "Arabica", I852="Lib", "Liberica", TRUE, "")</f>
        <v>Arabica</v>
      </c>
      <c r="O852" t="str" cm="1">
        <f t="array" ref="O852">_xlfn.IFS(J852="M", "Medium", J852="L", "Light", J852="D", "Dark", TRUE, "")</f>
        <v>Medium</v>
      </c>
      <c r="P852" t="str">
        <f>_xlfn.XLOOKUP(Table1[[#This Row],[Customer ID]], customers!$A$1:$A$1001, customers!$I$1:$I$1001,, 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INDEX(Product!$A$1:$G$49,MATCH(orders!$D853,Product!$A$1:$A$49,0),MATCH(orders!I$1,Product!$A$1:$G$1,0))</f>
        <v>Lib</v>
      </c>
      <c r="J853" t="str">
        <f>INDEX(Product!$A$1:$G$49,MATCH(orders!$D853,Product!$A$1:$A$49,0),MATCH(orders!J$1,Product!$A$1:$G$1,0))</f>
        <v>D</v>
      </c>
      <c r="K853" s="4">
        <f>INDEX(Product!$A$1:$G$49,MATCH(orders!$D853,Product!$A$1:$A$49,0),MATCH(orders!K$1,Product!$A$1:$G$1,0))</f>
        <v>0.5</v>
      </c>
      <c r="L853" s="5">
        <f>INDEX(Product!$A$1:$G$49,MATCH(orders!$D853,Product!$A$1:$A$49,0),MATCH(orders!L$1,Product!$A$1:$G$1,0))</f>
        <v>7.77</v>
      </c>
      <c r="M853" s="5">
        <f t="shared" si="13"/>
        <v>7.77</v>
      </c>
      <c r="N853" t="str" cm="1">
        <f t="array" ref="N853">_xlfn.IFS(I853="Rob", "Robusta", I853="Exc", "Excelsa", I853="Ara", "Arabica", I853="Lib", "Liberica", TRUE, "")</f>
        <v>Liberica</v>
      </c>
      <c r="O853" t="str" cm="1">
        <f t="array" ref="O853">_xlfn.IFS(J853="M", "Medium", J853="L", "Light", J853="D", "Dark", TRUE, "")</f>
        <v>Dark</v>
      </c>
      <c r="P853" t="str">
        <f>_xlfn.XLOOKUP(Table1[[#This Row],[Customer ID]], customers!$A$1:$A$1001, customers!$I$1:$I$1001,, 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INDEX(Product!$A$1:$G$49,MATCH(orders!$D854,Product!$A$1:$A$49,0),MATCH(orders!I$1,Product!$A$1:$G$1,0))</f>
        <v>Lib</v>
      </c>
      <c r="J854" t="str">
        <f>INDEX(Product!$A$1:$G$49,MATCH(orders!$D854,Product!$A$1:$A$49,0),MATCH(orders!J$1,Product!$A$1:$G$1,0))</f>
        <v>D</v>
      </c>
      <c r="K854" s="4">
        <f>INDEX(Product!$A$1:$G$49,MATCH(orders!$D854,Product!$A$1:$A$49,0),MATCH(orders!K$1,Product!$A$1:$G$1,0))</f>
        <v>2.5</v>
      </c>
      <c r="L854" s="5">
        <f>INDEX(Product!$A$1:$G$49,MATCH(orders!$D854,Product!$A$1:$A$49,0),MATCH(orders!L$1,Product!$A$1:$G$1,0))</f>
        <v>29.784999999999997</v>
      </c>
      <c r="M854" s="5">
        <f t="shared" si="13"/>
        <v>119.13999999999999</v>
      </c>
      <c r="N854" t="str" cm="1">
        <f t="array" ref="N854">_xlfn.IFS(I854="Rob", "Robusta", I854="Exc", "Excelsa", I854="Ara", "Arabica", I854="Lib", "Liberica", TRUE, "")</f>
        <v>Liberica</v>
      </c>
      <c r="O854" t="str" cm="1">
        <f t="array" ref="O854">_xlfn.IFS(J854="M", "Medium", J854="L", "Light", J854="D", "Dark", TRUE, "")</f>
        <v>Dark</v>
      </c>
      <c r="P854" t="str">
        <f>_xlfn.XLOOKUP(Table1[[#This Row],[Customer ID]], customers!$A$1:$A$1001, customers!$I$1:$I$1001,, 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INDEX(Product!$A$1:$G$49,MATCH(orders!$D855,Product!$A$1:$A$49,0),MATCH(orders!I$1,Product!$A$1:$G$1,0))</f>
        <v>Ara</v>
      </c>
      <c r="J855" t="str">
        <f>INDEX(Product!$A$1:$G$49,MATCH(orders!$D855,Product!$A$1:$A$49,0),MATCH(orders!J$1,Product!$A$1:$G$1,0))</f>
        <v>D</v>
      </c>
      <c r="K855" s="4">
        <f>INDEX(Product!$A$1:$G$49,MATCH(orders!$D855,Product!$A$1:$A$49,0),MATCH(orders!K$1,Product!$A$1:$G$1,0))</f>
        <v>1</v>
      </c>
      <c r="L855" s="5">
        <f>INDEX(Product!$A$1:$G$49,MATCH(orders!$D855,Product!$A$1:$A$49,0),MATCH(orders!L$1,Product!$A$1:$G$1,0))</f>
        <v>9.9499999999999993</v>
      </c>
      <c r="M855" s="5">
        <f t="shared" si="13"/>
        <v>19.899999999999999</v>
      </c>
      <c r="N855" t="str" cm="1">
        <f t="array" ref="N855">_xlfn.IFS(I855="Rob", "Robusta", I855="Exc", "Excelsa", I855="Ara", "Arabica", I855="Lib", "Liberica", TRUE, "")</f>
        <v>Arabica</v>
      </c>
      <c r="O855" t="str" cm="1">
        <f t="array" ref="O855">_xlfn.IFS(J855="M", "Medium", J855="L", "Light", J855="D", "Dark", TRUE, "")</f>
        <v>Dark</v>
      </c>
      <c r="P855" t="str">
        <f>_xlfn.XLOOKUP(Table1[[#This Row],[Customer ID]], customers!$A$1:$A$1001, customers!$I$1:$I$1001,, 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INDEX(Product!$A$1:$G$49,MATCH(orders!$D856,Product!$A$1:$A$49,0),MATCH(orders!I$1,Product!$A$1:$G$1,0))</f>
        <v>Rob</v>
      </c>
      <c r="J856" t="str">
        <f>INDEX(Product!$A$1:$G$49,MATCH(orders!$D856,Product!$A$1:$A$49,0),MATCH(orders!J$1,Product!$A$1:$G$1,0))</f>
        <v>L</v>
      </c>
      <c r="K856" s="4">
        <f>INDEX(Product!$A$1:$G$49,MATCH(orders!$D856,Product!$A$1:$A$49,0),MATCH(orders!K$1,Product!$A$1:$G$1,0))</f>
        <v>0.5</v>
      </c>
      <c r="L856" s="5">
        <f>INDEX(Product!$A$1:$G$49,MATCH(orders!$D856,Product!$A$1:$A$49,0),MATCH(orders!L$1,Product!$A$1:$G$1,0))</f>
        <v>7.169999999999999</v>
      </c>
      <c r="M856" s="5">
        <f t="shared" si="13"/>
        <v>35.849999999999994</v>
      </c>
      <c r="N856" t="str" cm="1">
        <f t="array" ref="N856">_xlfn.IFS(I856="Rob", "Robusta", I856="Exc", "Excelsa", I856="Ara", "Arabica", I856="Lib", "Liberica", TRUE, "")</f>
        <v>Robusta</v>
      </c>
      <c r="O856" t="str" cm="1">
        <f t="array" ref="O856">_xlfn.IFS(J856="M", "Medium", J856="L", "Light", J856="D", "Dark", TRUE, "")</f>
        <v>Light</v>
      </c>
      <c r="P856" t="str">
        <f>_xlfn.XLOOKUP(Table1[[#This Row],[Customer ID]], customers!$A$1:$A$1001, customers!$I$1:$I$1001,, 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INDEX(Product!$A$1:$G$49,MATCH(orders!$D857,Product!$A$1:$A$49,0),MATCH(orders!I$1,Product!$A$1:$G$1,0))</f>
        <v>Lib</v>
      </c>
      <c r="J857" t="str">
        <f>INDEX(Product!$A$1:$G$49,MATCH(orders!$D857,Product!$A$1:$A$49,0),MATCH(orders!J$1,Product!$A$1:$G$1,0))</f>
        <v>D</v>
      </c>
      <c r="K857" s="4">
        <f>INDEX(Product!$A$1:$G$49,MATCH(orders!$D857,Product!$A$1:$A$49,0),MATCH(orders!K$1,Product!$A$1:$G$1,0))</f>
        <v>2.5</v>
      </c>
      <c r="L857" s="5">
        <f>INDEX(Product!$A$1:$G$49,MATCH(orders!$D857,Product!$A$1:$A$49,0),MATCH(orders!L$1,Product!$A$1:$G$1,0))</f>
        <v>29.784999999999997</v>
      </c>
      <c r="M857" s="5">
        <f t="shared" si="13"/>
        <v>89.35499999999999</v>
      </c>
      <c r="N857" t="str" cm="1">
        <f t="array" ref="N857">_xlfn.IFS(I857="Rob", "Robusta", I857="Exc", "Excelsa", I857="Ara", "Arabica", I857="Lib", "Liberica", TRUE, "")</f>
        <v>Liberica</v>
      </c>
      <c r="O857" t="str" cm="1">
        <f t="array" ref="O857">_xlfn.IFS(J857="M", "Medium", J857="L", "Light", J857="D", "Dark", TRUE, "")</f>
        <v>Dark</v>
      </c>
      <c r="P857" t="str">
        <f>_xlfn.XLOOKUP(Table1[[#This Row],[Customer ID]], customers!$A$1:$A$1001, customers!$I$1:$I$1001,, 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INDEX(Product!$A$1:$G$49,MATCH(orders!$D858,Product!$A$1:$A$49,0),MATCH(orders!I$1,Product!$A$1:$G$1,0))</f>
        <v>Lib</v>
      </c>
      <c r="J858" t="str">
        <f>INDEX(Product!$A$1:$G$49,MATCH(orders!$D858,Product!$A$1:$A$49,0),MATCH(orders!J$1,Product!$A$1:$G$1,0))</f>
        <v>M</v>
      </c>
      <c r="K858" s="4">
        <f>INDEX(Product!$A$1:$G$49,MATCH(orders!$D858,Product!$A$1:$A$49,0),MATCH(orders!K$1,Product!$A$1:$G$1,0))</f>
        <v>0.2</v>
      </c>
      <c r="L858" s="5">
        <f>INDEX(Product!$A$1:$G$49,MATCH(orders!$D858,Product!$A$1:$A$49,0),MATCH(orders!L$1,Product!$A$1:$G$1,0))</f>
        <v>4.3650000000000002</v>
      </c>
      <c r="M858" s="5">
        <f t="shared" si="13"/>
        <v>8.73</v>
      </c>
      <c r="N858" t="str" cm="1">
        <f t="array" ref="N858">_xlfn.IFS(I858="Rob", "Robusta", I858="Exc", "Excelsa", I858="Ara", "Arabica", I858="Lib", "Liberica", TRUE, "")</f>
        <v>Liberica</v>
      </c>
      <c r="O858" t="str" cm="1">
        <f t="array" ref="O858">_xlfn.IFS(J858="M", "Medium", J858="L", "Light", J858="D", "Dark", TRUE, "")</f>
        <v>Medium</v>
      </c>
      <c r="P858" t="str">
        <f>_xlfn.XLOOKUP(Table1[[#This Row],[Customer ID]], customers!$A$1:$A$1001, customers!$I$1:$I$1001,, 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INDEX(Product!$A$1:$G$49,MATCH(orders!$D859,Product!$A$1:$A$49,0),MATCH(orders!I$1,Product!$A$1:$G$1,0))</f>
        <v>Rob</v>
      </c>
      <c r="J859" t="str">
        <f>INDEX(Product!$A$1:$G$49,MATCH(orders!$D859,Product!$A$1:$A$49,0),MATCH(orders!J$1,Product!$A$1:$G$1,0))</f>
        <v>L</v>
      </c>
      <c r="K859" s="4">
        <f>INDEX(Product!$A$1:$G$49,MATCH(orders!$D859,Product!$A$1:$A$49,0),MATCH(orders!K$1,Product!$A$1:$G$1,0))</f>
        <v>2.5</v>
      </c>
      <c r="L859" s="5">
        <f>INDEX(Product!$A$1:$G$49,MATCH(orders!$D859,Product!$A$1:$A$49,0),MATCH(orders!L$1,Product!$A$1:$G$1,0))</f>
        <v>27.484999999999996</v>
      </c>
      <c r="M859" s="5">
        <f t="shared" si="13"/>
        <v>137.42499999999998</v>
      </c>
      <c r="N859" t="str" cm="1">
        <f t="array" ref="N859">_xlfn.IFS(I859="Rob", "Robusta", I859="Exc", "Excelsa", I859="Ara", "Arabica", I859="Lib", "Liberica", TRUE, "")</f>
        <v>Robusta</v>
      </c>
      <c r="O859" t="str" cm="1">
        <f t="array" ref="O859">_xlfn.IFS(J859="M", "Medium", J859="L", "Light", J859="D", "Dark", TRUE, "")</f>
        <v>Light</v>
      </c>
      <c r="P859" t="str">
        <f>_xlfn.XLOOKUP(Table1[[#This Row],[Customer ID]], customers!$A$1:$A$1001, customers!$I$1:$I$1001,, 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INDEX(Product!$A$1:$G$49,MATCH(orders!$D860,Product!$A$1:$A$49,0),MATCH(orders!I$1,Product!$A$1:$G$1,0))</f>
        <v>Lib</v>
      </c>
      <c r="J860" t="str">
        <f>INDEX(Product!$A$1:$G$49,MATCH(orders!$D860,Product!$A$1:$A$49,0),MATCH(orders!J$1,Product!$A$1:$G$1,0))</f>
        <v>M</v>
      </c>
      <c r="K860" s="4">
        <f>INDEX(Product!$A$1:$G$49,MATCH(orders!$D860,Product!$A$1:$A$49,0),MATCH(orders!K$1,Product!$A$1:$G$1,0))</f>
        <v>0.5</v>
      </c>
      <c r="L860" s="5">
        <f>INDEX(Product!$A$1:$G$49,MATCH(orders!$D860,Product!$A$1:$A$49,0),MATCH(orders!L$1,Product!$A$1:$G$1,0))</f>
        <v>8.73</v>
      </c>
      <c r="M860" s="5">
        <f t="shared" si="13"/>
        <v>34.92</v>
      </c>
      <c r="N860" t="str" cm="1">
        <f t="array" ref="N860">_xlfn.IFS(I860="Rob", "Robusta", I860="Exc", "Excelsa", I860="Ara", "Arabica", I860="Lib", "Liberica", TRUE, "")</f>
        <v>Liberica</v>
      </c>
      <c r="O860" t="str" cm="1">
        <f t="array" ref="O860">_xlfn.IFS(J860="M", "Medium", J860="L", "Light", J860="D", "Dark", TRUE, "")</f>
        <v>Medium</v>
      </c>
      <c r="P860" t="str">
        <f>_xlfn.XLOOKUP(Table1[[#This Row],[Customer ID]], customers!$A$1:$A$1001, customers!$I$1:$I$1001,, 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INDEX(Product!$A$1:$G$49,MATCH(orders!$D861,Product!$A$1:$A$49,0),MATCH(orders!I$1,Product!$A$1:$G$1,0))</f>
        <v>Ara</v>
      </c>
      <c r="J861" t="str">
        <f>INDEX(Product!$A$1:$G$49,MATCH(orders!$D861,Product!$A$1:$A$49,0),MATCH(orders!J$1,Product!$A$1:$G$1,0))</f>
        <v>L</v>
      </c>
      <c r="K861" s="4">
        <f>INDEX(Product!$A$1:$G$49,MATCH(orders!$D861,Product!$A$1:$A$49,0),MATCH(orders!K$1,Product!$A$1:$G$1,0))</f>
        <v>2.5</v>
      </c>
      <c r="L861" s="5">
        <f>INDEX(Product!$A$1:$G$49,MATCH(orders!$D861,Product!$A$1:$A$49,0),MATCH(orders!L$1,Product!$A$1:$G$1,0))</f>
        <v>29.784999999999997</v>
      </c>
      <c r="M861" s="5">
        <f t="shared" si="13"/>
        <v>178.70999999999998</v>
      </c>
      <c r="N861" t="str" cm="1">
        <f t="array" ref="N861">_xlfn.IFS(I861="Rob", "Robusta", I861="Exc", "Excelsa", I861="Ara", "Arabica", I861="Lib", "Liberica", TRUE, "")</f>
        <v>Arabica</v>
      </c>
      <c r="O861" t="str" cm="1">
        <f t="array" ref="O861">_xlfn.IFS(J861="M", "Medium", J861="L", "Light", J861="D", "Dark", TRUE, "")</f>
        <v>Light</v>
      </c>
      <c r="P861" t="str">
        <f>_xlfn.XLOOKUP(Table1[[#This Row],[Customer ID]], customers!$A$1:$A$1001, customers!$I$1:$I$1001,, 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INDEX(Product!$A$1:$G$49,MATCH(orders!$D862,Product!$A$1:$A$49,0),MATCH(orders!I$1,Product!$A$1:$G$1,0))</f>
        <v>Ara</v>
      </c>
      <c r="J862" t="str">
        <f>INDEX(Product!$A$1:$G$49,MATCH(orders!$D862,Product!$A$1:$A$49,0),MATCH(orders!J$1,Product!$A$1:$G$1,0))</f>
        <v>M</v>
      </c>
      <c r="K862" s="4">
        <f>INDEX(Product!$A$1:$G$49,MATCH(orders!$D862,Product!$A$1:$A$49,0),MATCH(orders!K$1,Product!$A$1:$G$1,0))</f>
        <v>2.5</v>
      </c>
      <c r="L862" s="5">
        <f>INDEX(Product!$A$1:$G$49,MATCH(orders!$D862,Product!$A$1:$A$49,0),MATCH(orders!L$1,Product!$A$1:$G$1,0))</f>
        <v>25.874999999999996</v>
      </c>
      <c r="M862" s="5">
        <f t="shared" si="13"/>
        <v>25.874999999999996</v>
      </c>
      <c r="N862" t="str" cm="1">
        <f t="array" ref="N862">_xlfn.IFS(I862="Rob", "Robusta", I862="Exc", "Excelsa", I862="Ara", "Arabica", I862="Lib", "Liberica", TRUE, "")</f>
        <v>Arabica</v>
      </c>
      <c r="O862" t="str" cm="1">
        <f t="array" ref="O862">_xlfn.IFS(J862="M", "Medium", J862="L", "Light", J862="D", "Dark", TRUE, "")</f>
        <v>Medium</v>
      </c>
      <c r="P862" t="str">
        <f>_xlfn.XLOOKUP(Table1[[#This Row],[Customer ID]], customers!$A$1:$A$1001, customers!$I$1:$I$1001,, 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INDEX(Product!$A$1:$G$49,MATCH(orders!$D863,Product!$A$1:$A$49,0),MATCH(orders!I$1,Product!$A$1:$G$1,0))</f>
        <v>Lib</v>
      </c>
      <c r="J863" t="str">
        <f>INDEX(Product!$A$1:$G$49,MATCH(orders!$D863,Product!$A$1:$A$49,0),MATCH(orders!J$1,Product!$A$1:$G$1,0))</f>
        <v>D</v>
      </c>
      <c r="K863" s="4">
        <f>INDEX(Product!$A$1:$G$49,MATCH(orders!$D863,Product!$A$1:$A$49,0),MATCH(orders!K$1,Product!$A$1:$G$1,0))</f>
        <v>1</v>
      </c>
      <c r="L863" s="5">
        <f>INDEX(Product!$A$1:$G$49,MATCH(orders!$D863,Product!$A$1:$A$49,0),MATCH(orders!L$1,Product!$A$1:$G$1,0))</f>
        <v>12.95</v>
      </c>
      <c r="M863" s="5">
        <f t="shared" si="13"/>
        <v>77.699999999999989</v>
      </c>
      <c r="N863" t="str" cm="1">
        <f t="array" ref="N863">_xlfn.IFS(I863="Rob", "Robusta", I863="Exc", "Excelsa", I863="Ara", "Arabica", I863="Lib", "Liberica", TRUE, "")</f>
        <v>Liberica</v>
      </c>
      <c r="O863" t="str" cm="1">
        <f t="array" ref="O863">_xlfn.IFS(J863="M", "Medium", J863="L", "Light", J863="D", "Dark", TRUE, "")</f>
        <v>Dark</v>
      </c>
      <c r="P863" t="str">
        <f>_xlfn.XLOOKUP(Table1[[#This Row],[Customer ID]], customers!$A$1:$A$1001, customers!$I$1:$I$1001,, 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INDEX(Product!$A$1:$G$49,MATCH(orders!$D864,Product!$A$1:$A$49,0),MATCH(orders!I$1,Product!$A$1:$G$1,0))</f>
        <v>Rob</v>
      </c>
      <c r="J864" t="str">
        <f>INDEX(Product!$A$1:$G$49,MATCH(orders!$D864,Product!$A$1:$A$49,0),MATCH(orders!J$1,Product!$A$1:$G$1,0))</f>
        <v>M</v>
      </c>
      <c r="K864" s="4">
        <f>INDEX(Product!$A$1:$G$49,MATCH(orders!$D864,Product!$A$1:$A$49,0),MATCH(orders!K$1,Product!$A$1:$G$1,0))</f>
        <v>1</v>
      </c>
      <c r="L864" s="5">
        <f>INDEX(Product!$A$1:$G$49,MATCH(orders!$D864,Product!$A$1:$A$49,0),MATCH(orders!L$1,Product!$A$1:$G$1,0))</f>
        <v>9.9499999999999993</v>
      </c>
      <c r="M864" s="5">
        <f t="shared" si="13"/>
        <v>9.9499999999999993</v>
      </c>
      <c r="N864" t="str" cm="1">
        <f t="array" ref="N864">_xlfn.IFS(I864="Rob", "Robusta", I864="Exc", "Excelsa", I864="Ara", "Arabica", I864="Lib", "Liberica", TRUE, "")</f>
        <v>Robusta</v>
      </c>
      <c r="O864" t="str" cm="1">
        <f t="array" ref="O864">_xlfn.IFS(J864="M", "Medium", J864="L", "Light", J864="D", "Dark", TRUE, "")</f>
        <v>Medium</v>
      </c>
      <c r="P864" t="str">
        <f>_xlfn.XLOOKUP(Table1[[#This Row],[Customer ID]], customers!$A$1:$A$1001, customers!$I$1:$I$1001,, 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INDEX(Product!$A$1:$G$49,MATCH(orders!$D865,Product!$A$1:$A$49,0),MATCH(orders!I$1,Product!$A$1:$G$1,0))</f>
        <v>Lib</v>
      </c>
      <c r="J865" t="str">
        <f>INDEX(Product!$A$1:$G$49,MATCH(orders!$D865,Product!$A$1:$A$49,0),MATCH(orders!J$1,Product!$A$1:$G$1,0))</f>
        <v>M</v>
      </c>
      <c r="K865" s="4">
        <f>INDEX(Product!$A$1:$G$49,MATCH(orders!$D865,Product!$A$1:$A$49,0),MATCH(orders!K$1,Product!$A$1:$G$1,0))</f>
        <v>1</v>
      </c>
      <c r="L865" s="5">
        <f>INDEX(Product!$A$1:$G$49,MATCH(orders!$D865,Product!$A$1:$A$49,0),MATCH(orders!L$1,Product!$A$1:$G$1,0))</f>
        <v>14.55</v>
      </c>
      <c r="M865" s="5">
        <f t="shared" si="13"/>
        <v>29.1</v>
      </c>
      <c r="N865" t="str" cm="1">
        <f t="array" ref="N865">_xlfn.IFS(I865="Rob", "Robusta", I865="Exc", "Excelsa", I865="Ara", "Arabica", I865="Lib", "Liberica", TRUE, "")</f>
        <v>Liberica</v>
      </c>
      <c r="O865" t="str" cm="1">
        <f t="array" ref="O865">_xlfn.IFS(J865="M", "Medium", J865="L", "Light", J865="D", "Dark", TRUE, "")</f>
        <v>Medium</v>
      </c>
      <c r="P865" t="str">
        <f>_xlfn.XLOOKUP(Table1[[#This Row],[Customer ID]], customers!$A$1:$A$1001, customers!$I$1:$I$1001,, 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INDEX(Product!$A$1:$G$49,MATCH(orders!$D866,Product!$A$1:$A$49,0),MATCH(orders!I$1,Product!$A$1:$G$1,0))</f>
        <v>Rob</v>
      </c>
      <c r="J866" t="str">
        <f>INDEX(Product!$A$1:$G$49,MATCH(orders!$D866,Product!$A$1:$A$49,0),MATCH(orders!J$1,Product!$A$1:$G$1,0))</f>
        <v>L</v>
      </c>
      <c r="K866" s="4">
        <f>INDEX(Product!$A$1:$G$49,MATCH(orders!$D866,Product!$A$1:$A$49,0),MATCH(orders!K$1,Product!$A$1:$G$1,0))</f>
        <v>0.2</v>
      </c>
      <c r="L866" s="5">
        <f>INDEX(Product!$A$1:$G$49,MATCH(orders!$D866,Product!$A$1:$A$49,0),MATCH(orders!L$1,Product!$A$1:$G$1,0))</f>
        <v>3.5849999999999995</v>
      </c>
      <c r="M866" s="5">
        <f t="shared" si="13"/>
        <v>21.509999999999998</v>
      </c>
      <c r="N866" t="str" cm="1">
        <f t="array" ref="N866">_xlfn.IFS(I866="Rob", "Robusta", I866="Exc", "Excelsa", I866="Ara", "Arabica", I866="Lib", "Liberica", TRUE, "")</f>
        <v>Robusta</v>
      </c>
      <c r="O866" t="str" cm="1">
        <f t="array" ref="O866">_xlfn.IFS(J866="M", "Medium", J866="L", "Light", J866="D", "Dark", TRUE, "")</f>
        <v>Light</v>
      </c>
      <c r="P866" t="str">
        <f>_xlfn.XLOOKUP(Table1[[#This Row],[Customer ID]], customers!$A$1:$A$1001, customers!$I$1:$I$1001,, 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INDEX(Product!$A$1:$G$49,MATCH(orders!$D867,Product!$A$1:$A$49,0),MATCH(orders!I$1,Product!$A$1:$G$1,0))</f>
        <v>Ara</v>
      </c>
      <c r="J867" t="str">
        <f>INDEX(Product!$A$1:$G$49,MATCH(orders!$D867,Product!$A$1:$A$49,0),MATCH(orders!J$1,Product!$A$1:$G$1,0))</f>
        <v>M</v>
      </c>
      <c r="K867" s="4">
        <f>INDEX(Product!$A$1:$G$49,MATCH(orders!$D867,Product!$A$1:$A$49,0),MATCH(orders!K$1,Product!$A$1:$G$1,0))</f>
        <v>0.5</v>
      </c>
      <c r="L867" s="5">
        <f>INDEX(Product!$A$1:$G$49,MATCH(orders!$D867,Product!$A$1:$A$49,0),MATCH(orders!L$1,Product!$A$1:$G$1,0))</f>
        <v>6.75</v>
      </c>
      <c r="M867" s="5">
        <f t="shared" si="13"/>
        <v>6.75</v>
      </c>
      <c r="N867" t="str" cm="1">
        <f t="array" ref="N867">_xlfn.IFS(I867="Rob", "Robusta", I867="Exc", "Excelsa", I867="Ara", "Arabica", I867="Lib", "Liberica", TRUE, "")</f>
        <v>Arabica</v>
      </c>
      <c r="O867" t="str" cm="1">
        <f t="array" ref="O867">_xlfn.IFS(J867="M", "Medium", J867="L", "Light", J867="D", "Dark", TRUE, "")</f>
        <v>Medium</v>
      </c>
      <c r="P867" t="str">
        <f>_xlfn.XLOOKUP(Table1[[#This Row],[Customer ID]], customers!$A$1:$A$1001, customers!$I$1:$I$1001,, 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INDEX(Product!$A$1:$G$49,MATCH(orders!$D868,Product!$A$1:$A$49,0),MATCH(orders!I$1,Product!$A$1:$G$1,0))</f>
        <v>Ara</v>
      </c>
      <c r="J868" t="str">
        <f>INDEX(Product!$A$1:$G$49,MATCH(orders!$D868,Product!$A$1:$A$49,0),MATCH(orders!J$1,Product!$A$1:$G$1,0))</f>
        <v>D</v>
      </c>
      <c r="K868" s="4">
        <f>INDEX(Product!$A$1:$G$49,MATCH(orders!$D868,Product!$A$1:$A$49,0),MATCH(orders!K$1,Product!$A$1:$G$1,0))</f>
        <v>0.5</v>
      </c>
      <c r="L868" s="5">
        <f>INDEX(Product!$A$1:$G$49,MATCH(orders!$D868,Product!$A$1:$A$49,0),MATCH(orders!L$1,Product!$A$1:$G$1,0))</f>
        <v>5.97</v>
      </c>
      <c r="M868" s="5">
        <f t="shared" si="13"/>
        <v>17.91</v>
      </c>
      <c r="N868" t="str" cm="1">
        <f t="array" ref="N868">_xlfn.IFS(I868="Rob", "Robusta", I868="Exc", "Excelsa", I868="Ara", "Arabica", I868="Lib", "Liberica", TRUE, "")</f>
        <v>Arabica</v>
      </c>
      <c r="O868" t="str" cm="1">
        <f t="array" ref="O868">_xlfn.IFS(J868="M", "Medium", J868="L", "Light", J868="D", "Dark", TRUE, "")</f>
        <v>Dark</v>
      </c>
      <c r="P868" t="str">
        <f>_xlfn.XLOOKUP(Table1[[#This Row],[Customer ID]], customers!$A$1:$A$1001, customers!$I$1:$I$1001,, 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INDEX(Product!$A$1:$G$49,MATCH(orders!$D869,Product!$A$1:$A$49,0),MATCH(orders!I$1,Product!$A$1:$G$1,0))</f>
        <v>Ara</v>
      </c>
      <c r="J869" t="str">
        <f>INDEX(Product!$A$1:$G$49,MATCH(orders!$D869,Product!$A$1:$A$49,0),MATCH(orders!J$1,Product!$A$1:$G$1,0))</f>
        <v>L</v>
      </c>
      <c r="K869" s="4">
        <f>INDEX(Product!$A$1:$G$49,MATCH(orders!$D869,Product!$A$1:$A$49,0),MATCH(orders!K$1,Product!$A$1:$G$1,0))</f>
        <v>2.5</v>
      </c>
      <c r="L869" s="5">
        <f>INDEX(Product!$A$1:$G$49,MATCH(orders!$D869,Product!$A$1:$A$49,0),MATCH(orders!L$1,Product!$A$1:$G$1,0))</f>
        <v>29.784999999999997</v>
      </c>
      <c r="M869" s="5">
        <f t="shared" si="13"/>
        <v>29.784999999999997</v>
      </c>
      <c r="N869" t="str" cm="1">
        <f t="array" ref="N869">_xlfn.IFS(I869="Rob", "Robusta", I869="Exc", "Excelsa", I869="Ara", "Arabica", I869="Lib", "Liberica", TRUE, "")</f>
        <v>Arabica</v>
      </c>
      <c r="O869" t="str" cm="1">
        <f t="array" ref="O869">_xlfn.IFS(J869="M", "Medium", J869="L", "Light", J869="D", "Dark", TRUE, "")</f>
        <v>Light</v>
      </c>
      <c r="P869" t="str">
        <f>_xlfn.XLOOKUP(Table1[[#This Row],[Customer ID]], customers!$A$1:$A$1001, customers!$I$1:$I$1001,, 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INDEX(Product!$A$1:$G$49,MATCH(orders!$D870,Product!$A$1:$A$49,0),MATCH(orders!I$1,Product!$A$1:$G$1,0))</f>
        <v>Exc</v>
      </c>
      <c r="J870" t="str">
        <f>INDEX(Product!$A$1:$G$49,MATCH(orders!$D870,Product!$A$1:$A$49,0),MATCH(orders!J$1,Product!$A$1:$G$1,0))</f>
        <v>M</v>
      </c>
      <c r="K870" s="4">
        <f>INDEX(Product!$A$1:$G$49,MATCH(orders!$D870,Product!$A$1:$A$49,0),MATCH(orders!K$1,Product!$A$1:$G$1,0))</f>
        <v>0.5</v>
      </c>
      <c r="L870" s="5">
        <f>INDEX(Product!$A$1:$G$49,MATCH(orders!$D870,Product!$A$1:$A$49,0),MATCH(orders!L$1,Product!$A$1:$G$1,0))</f>
        <v>8.25</v>
      </c>
      <c r="M870" s="5">
        <f t="shared" si="13"/>
        <v>41.25</v>
      </c>
      <c r="N870" t="str" cm="1">
        <f t="array" ref="N870">_xlfn.IFS(I870="Rob", "Robusta", I870="Exc", "Excelsa", I870="Ara", "Arabica", I870="Lib", "Liberica", TRUE, "")</f>
        <v>Excelsa</v>
      </c>
      <c r="O870" t="str" cm="1">
        <f t="array" ref="O870">_xlfn.IFS(J870="M", "Medium", J870="L", "Light", J870="D", "Dark", TRUE, "")</f>
        <v>Medium</v>
      </c>
      <c r="P870" t="str">
        <f>_xlfn.XLOOKUP(Table1[[#This Row],[Customer ID]], customers!$A$1:$A$1001, customers!$I$1:$I$1001,, 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INDEX(Product!$A$1:$G$49,MATCH(orders!$D871,Product!$A$1:$A$49,0),MATCH(orders!I$1,Product!$A$1:$G$1,0))</f>
        <v>Rob</v>
      </c>
      <c r="J871" t="str">
        <f>INDEX(Product!$A$1:$G$49,MATCH(orders!$D871,Product!$A$1:$A$49,0),MATCH(orders!J$1,Product!$A$1:$G$1,0))</f>
        <v>M</v>
      </c>
      <c r="K871" s="4">
        <f>INDEX(Product!$A$1:$G$49,MATCH(orders!$D871,Product!$A$1:$A$49,0),MATCH(orders!K$1,Product!$A$1:$G$1,0))</f>
        <v>0.5</v>
      </c>
      <c r="L871" s="5">
        <f>INDEX(Product!$A$1:$G$49,MATCH(orders!$D871,Product!$A$1:$A$49,0),MATCH(orders!L$1,Product!$A$1:$G$1,0))</f>
        <v>5.97</v>
      </c>
      <c r="M871" s="5">
        <f t="shared" si="13"/>
        <v>17.91</v>
      </c>
      <c r="N871" t="str" cm="1">
        <f t="array" ref="N871">_xlfn.IFS(I871="Rob", "Robusta", I871="Exc", "Excelsa", I871="Ara", "Arabica", I871="Lib", "Liberica", TRUE, "")</f>
        <v>Robusta</v>
      </c>
      <c r="O871" t="str" cm="1">
        <f t="array" ref="O871">_xlfn.IFS(J871="M", "Medium", J871="L", "Light", J871="D", "Dark", TRUE, "")</f>
        <v>Medium</v>
      </c>
      <c r="P871" t="str">
        <f>_xlfn.XLOOKUP(Table1[[#This Row],[Customer ID]], customers!$A$1:$A$1001, customers!$I$1:$I$1001,, 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INDEX(Product!$A$1:$G$49,MATCH(orders!$D872,Product!$A$1:$A$49,0),MATCH(orders!I$1,Product!$A$1:$G$1,0))</f>
        <v>Exc</v>
      </c>
      <c r="J872" t="str">
        <f>INDEX(Product!$A$1:$G$49,MATCH(orders!$D872,Product!$A$1:$A$49,0),MATCH(orders!J$1,Product!$A$1:$G$1,0))</f>
        <v>D</v>
      </c>
      <c r="K872" s="4">
        <f>INDEX(Product!$A$1:$G$49,MATCH(orders!$D872,Product!$A$1:$A$49,0),MATCH(orders!K$1,Product!$A$1:$G$1,0))</f>
        <v>0.5</v>
      </c>
      <c r="L872" s="5">
        <f>INDEX(Product!$A$1:$G$49,MATCH(orders!$D872,Product!$A$1:$A$49,0),MATCH(orders!L$1,Product!$A$1:$G$1,0))</f>
        <v>7.29</v>
      </c>
      <c r="M872" s="5">
        <f t="shared" si="13"/>
        <v>7.29</v>
      </c>
      <c r="N872" t="str" cm="1">
        <f t="array" ref="N872">_xlfn.IFS(I872="Rob", "Robusta", I872="Exc", "Excelsa", I872="Ara", "Arabica", I872="Lib", "Liberica", TRUE, "")</f>
        <v>Excelsa</v>
      </c>
      <c r="O872" t="str" cm="1">
        <f t="array" ref="O872">_xlfn.IFS(J872="M", "Medium", J872="L", "Light", J872="D", "Dark", TRUE, "")</f>
        <v>Dark</v>
      </c>
      <c r="P872" t="str">
        <f>_xlfn.XLOOKUP(Table1[[#This Row],[Customer ID]], customers!$A$1:$A$1001, customers!$I$1:$I$1001,, 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INDEX(Product!$A$1:$G$49,MATCH(orders!$D873,Product!$A$1:$A$49,0),MATCH(orders!I$1,Product!$A$1:$G$1,0))</f>
        <v>Exc</v>
      </c>
      <c r="J873" t="str">
        <f>INDEX(Product!$A$1:$G$49,MATCH(orders!$D873,Product!$A$1:$A$49,0),MATCH(orders!J$1,Product!$A$1:$G$1,0))</f>
        <v>L</v>
      </c>
      <c r="K873" s="4">
        <f>INDEX(Product!$A$1:$G$49,MATCH(orders!$D873,Product!$A$1:$A$49,0),MATCH(orders!K$1,Product!$A$1:$G$1,0))</f>
        <v>1</v>
      </c>
      <c r="L873" s="5">
        <f>INDEX(Product!$A$1:$G$49,MATCH(orders!$D873,Product!$A$1:$A$49,0),MATCH(orders!L$1,Product!$A$1:$G$1,0))</f>
        <v>14.85</v>
      </c>
      <c r="M873" s="5">
        <f t="shared" si="13"/>
        <v>29.7</v>
      </c>
      <c r="N873" t="str" cm="1">
        <f t="array" ref="N873">_xlfn.IFS(I873="Rob", "Robusta", I873="Exc", "Excelsa", I873="Ara", "Arabica", I873="Lib", "Liberica", TRUE, "")</f>
        <v>Excelsa</v>
      </c>
      <c r="O873" t="str" cm="1">
        <f t="array" ref="O873">_xlfn.IFS(J873="M", "Medium", J873="L", "Light", J873="D", "Dark", TRUE, "")</f>
        <v>Light</v>
      </c>
      <c r="P873" t="str">
        <f>_xlfn.XLOOKUP(Table1[[#This Row],[Customer ID]], customers!$A$1:$A$1001, customers!$I$1:$I$1001,, 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INDEX(Product!$A$1:$G$49,MATCH(orders!$D874,Product!$A$1:$A$49,0),MATCH(orders!I$1,Product!$A$1:$G$1,0))</f>
        <v>Ara</v>
      </c>
      <c r="J874" t="str">
        <f>INDEX(Product!$A$1:$G$49,MATCH(orders!$D874,Product!$A$1:$A$49,0),MATCH(orders!J$1,Product!$A$1:$G$1,0))</f>
        <v>M</v>
      </c>
      <c r="K874" s="4">
        <f>INDEX(Product!$A$1:$G$49,MATCH(orders!$D874,Product!$A$1:$A$49,0),MATCH(orders!K$1,Product!$A$1:$G$1,0))</f>
        <v>1</v>
      </c>
      <c r="L874" s="5">
        <f>INDEX(Product!$A$1:$G$49,MATCH(orders!$D874,Product!$A$1:$A$49,0),MATCH(orders!L$1,Product!$A$1:$G$1,0))</f>
        <v>11.25</v>
      </c>
      <c r="M874" s="5">
        <f t="shared" si="13"/>
        <v>22.5</v>
      </c>
      <c r="N874" t="str" cm="1">
        <f t="array" ref="N874">_xlfn.IFS(I874="Rob", "Robusta", I874="Exc", "Excelsa", I874="Ara", "Arabica", I874="Lib", "Liberica", TRUE, "")</f>
        <v>Arabica</v>
      </c>
      <c r="O874" t="str" cm="1">
        <f t="array" ref="O874">_xlfn.IFS(J874="M", "Medium", J874="L", "Light", J874="D", "Dark", TRUE, "")</f>
        <v>Medium</v>
      </c>
      <c r="P874" t="str">
        <f>_xlfn.XLOOKUP(Table1[[#This Row],[Customer ID]], customers!$A$1:$A$1001, customers!$I$1:$I$1001,, 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INDEX(Product!$A$1:$G$49,MATCH(orders!$D875,Product!$A$1:$A$49,0),MATCH(orders!I$1,Product!$A$1:$G$1,0))</f>
        <v>Rob</v>
      </c>
      <c r="J875" t="str">
        <f>INDEX(Product!$A$1:$G$49,MATCH(orders!$D875,Product!$A$1:$A$49,0),MATCH(orders!J$1,Product!$A$1:$G$1,0))</f>
        <v>M</v>
      </c>
      <c r="K875" s="4">
        <f>INDEX(Product!$A$1:$G$49,MATCH(orders!$D875,Product!$A$1:$A$49,0),MATCH(orders!K$1,Product!$A$1:$G$1,0))</f>
        <v>0.2</v>
      </c>
      <c r="L875" s="5">
        <f>INDEX(Product!$A$1:$G$49,MATCH(orders!$D875,Product!$A$1:$A$49,0),MATCH(orders!L$1,Product!$A$1:$G$1,0))</f>
        <v>2.9849999999999999</v>
      </c>
      <c r="M875" s="5">
        <f t="shared" si="13"/>
        <v>11.94</v>
      </c>
      <c r="N875" t="str" cm="1">
        <f t="array" ref="N875">_xlfn.IFS(I875="Rob", "Robusta", I875="Exc", "Excelsa", I875="Ara", "Arabica", I875="Lib", "Liberica", TRUE, "")</f>
        <v>Robusta</v>
      </c>
      <c r="O875" t="str" cm="1">
        <f t="array" ref="O875">_xlfn.IFS(J875="M", "Medium", J875="L", "Light", J875="D", "Dark", TRUE, "")</f>
        <v>Medium</v>
      </c>
      <c r="P875" t="str">
        <f>_xlfn.XLOOKUP(Table1[[#This Row],[Customer ID]], customers!$A$1:$A$1001, customers!$I$1:$I$1001,, 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INDEX(Product!$A$1:$G$49,MATCH(orders!$D876,Product!$A$1:$A$49,0),MATCH(orders!I$1,Product!$A$1:$G$1,0))</f>
        <v>Ara</v>
      </c>
      <c r="J876" t="str">
        <f>INDEX(Product!$A$1:$G$49,MATCH(orders!$D876,Product!$A$1:$A$49,0),MATCH(orders!J$1,Product!$A$1:$G$1,0))</f>
        <v>L</v>
      </c>
      <c r="K876" s="4">
        <f>INDEX(Product!$A$1:$G$49,MATCH(orders!$D876,Product!$A$1:$A$49,0),MATCH(orders!K$1,Product!$A$1:$G$1,0))</f>
        <v>1</v>
      </c>
      <c r="L876" s="5">
        <f>INDEX(Product!$A$1:$G$49,MATCH(orders!$D876,Product!$A$1:$A$49,0),MATCH(orders!L$1,Product!$A$1:$G$1,0))</f>
        <v>12.95</v>
      </c>
      <c r="M876" s="5">
        <f t="shared" si="13"/>
        <v>25.9</v>
      </c>
      <c r="N876" t="str" cm="1">
        <f t="array" ref="N876">_xlfn.IFS(I876="Rob", "Robusta", I876="Exc", "Excelsa", I876="Ara", "Arabica", I876="Lib", "Liberica", TRUE, "")</f>
        <v>Arabica</v>
      </c>
      <c r="O876" t="str" cm="1">
        <f t="array" ref="O876">_xlfn.IFS(J876="M", "Medium", J876="L", "Light", J876="D", "Dark", TRUE, "")</f>
        <v>Light</v>
      </c>
      <c r="P876" t="str">
        <f>_xlfn.XLOOKUP(Table1[[#This Row],[Customer ID]], customers!$A$1:$A$1001, customers!$I$1:$I$1001,, 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INDEX(Product!$A$1:$G$49,MATCH(orders!$D877,Product!$A$1:$A$49,0),MATCH(orders!I$1,Product!$A$1:$G$1,0))</f>
        <v>Lib</v>
      </c>
      <c r="J877" t="str">
        <f>INDEX(Product!$A$1:$G$49,MATCH(orders!$D877,Product!$A$1:$A$49,0),MATCH(orders!J$1,Product!$A$1:$G$1,0))</f>
        <v>M</v>
      </c>
      <c r="K877" s="4">
        <f>INDEX(Product!$A$1:$G$49,MATCH(orders!$D877,Product!$A$1:$A$49,0),MATCH(orders!K$1,Product!$A$1:$G$1,0))</f>
        <v>0.5</v>
      </c>
      <c r="L877" s="5">
        <f>INDEX(Product!$A$1:$G$49,MATCH(orders!$D877,Product!$A$1:$A$49,0),MATCH(orders!L$1,Product!$A$1:$G$1,0))</f>
        <v>8.73</v>
      </c>
      <c r="M877" s="5">
        <f t="shared" si="13"/>
        <v>43.650000000000006</v>
      </c>
      <c r="N877" t="str" cm="1">
        <f t="array" ref="N877">_xlfn.IFS(I877="Rob", "Robusta", I877="Exc", "Excelsa", I877="Ara", "Arabica", I877="Lib", "Liberica", TRUE, "")</f>
        <v>Liberica</v>
      </c>
      <c r="O877" t="str" cm="1">
        <f t="array" ref="O877">_xlfn.IFS(J877="M", "Medium", J877="L", "Light", J877="D", "Dark", TRUE, "")</f>
        <v>Medium</v>
      </c>
      <c r="P877" t="str">
        <f>_xlfn.XLOOKUP(Table1[[#This Row],[Customer ID]], customers!$A$1:$A$1001, customers!$I$1:$I$1001,, 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INDEX(Product!$A$1:$G$49,MATCH(orders!$D878,Product!$A$1:$A$49,0),MATCH(orders!I$1,Product!$A$1:$G$1,0))</f>
        <v>Ara</v>
      </c>
      <c r="J878" t="str">
        <f>INDEX(Product!$A$1:$G$49,MATCH(orders!$D878,Product!$A$1:$A$49,0),MATCH(orders!J$1,Product!$A$1:$G$1,0))</f>
        <v>L</v>
      </c>
      <c r="K878" s="4">
        <f>INDEX(Product!$A$1:$G$49,MATCH(orders!$D878,Product!$A$1:$A$49,0),MATCH(orders!K$1,Product!$A$1:$G$1,0))</f>
        <v>0.5</v>
      </c>
      <c r="L878" s="5">
        <f>INDEX(Product!$A$1:$G$49,MATCH(orders!$D878,Product!$A$1:$A$49,0),MATCH(orders!L$1,Product!$A$1:$G$1,0))</f>
        <v>7.77</v>
      </c>
      <c r="M878" s="5">
        <f t="shared" si="13"/>
        <v>46.62</v>
      </c>
      <c r="N878" t="str" cm="1">
        <f t="array" ref="N878">_xlfn.IFS(I878="Rob", "Robusta", I878="Exc", "Excelsa", I878="Ara", "Arabica", I878="Lib", "Liberica", TRUE, "")</f>
        <v>Arabica</v>
      </c>
      <c r="O878" t="str" cm="1">
        <f t="array" ref="O878">_xlfn.IFS(J878="M", "Medium", J878="L", "Light", J878="D", "Dark", TRUE, "")</f>
        <v>Light</v>
      </c>
      <c r="P878" t="str">
        <f>_xlfn.XLOOKUP(Table1[[#This Row],[Customer ID]], customers!$A$1:$A$1001, customers!$I$1:$I$1001,, 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INDEX(Product!$A$1:$G$49,MATCH(orders!$D879,Product!$A$1:$A$49,0),MATCH(orders!I$1,Product!$A$1:$G$1,0))</f>
        <v>Lib</v>
      </c>
      <c r="J879" t="str">
        <f>INDEX(Product!$A$1:$G$49,MATCH(orders!$D879,Product!$A$1:$A$49,0),MATCH(orders!J$1,Product!$A$1:$G$1,0))</f>
        <v>L</v>
      </c>
      <c r="K879" s="4">
        <f>INDEX(Product!$A$1:$G$49,MATCH(orders!$D879,Product!$A$1:$A$49,0),MATCH(orders!K$1,Product!$A$1:$G$1,0))</f>
        <v>0.5</v>
      </c>
      <c r="L879" s="5">
        <f>INDEX(Product!$A$1:$G$49,MATCH(orders!$D879,Product!$A$1:$A$49,0),MATCH(orders!L$1,Product!$A$1:$G$1,0))</f>
        <v>9.51</v>
      </c>
      <c r="M879" s="5">
        <f t="shared" si="13"/>
        <v>28.53</v>
      </c>
      <c r="N879" t="str" cm="1">
        <f t="array" ref="N879">_xlfn.IFS(I879="Rob", "Robusta", I879="Exc", "Excelsa", I879="Ara", "Arabica", I879="Lib", "Liberica", TRUE, "")</f>
        <v>Liberica</v>
      </c>
      <c r="O879" t="str" cm="1">
        <f t="array" ref="O879">_xlfn.IFS(J879="M", "Medium", J879="L", "Light", J879="D", "Dark", TRUE, "")</f>
        <v>Light</v>
      </c>
      <c r="P879" t="str">
        <f>_xlfn.XLOOKUP(Table1[[#This Row],[Customer ID]], customers!$A$1:$A$1001, customers!$I$1:$I$1001,, 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INDEX(Product!$A$1:$G$49,MATCH(orders!$D880,Product!$A$1:$A$49,0),MATCH(orders!I$1,Product!$A$1:$G$1,0))</f>
        <v>Rob</v>
      </c>
      <c r="J880" t="str">
        <f>INDEX(Product!$A$1:$G$49,MATCH(orders!$D880,Product!$A$1:$A$49,0),MATCH(orders!J$1,Product!$A$1:$G$1,0))</f>
        <v>L</v>
      </c>
      <c r="K880" s="4">
        <f>INDEX(Product!$A$1:$G$49,MATCH(orders!$D880,Product!$A$1:$A$49,0),MATCH(orders!K$1,Product!$A$1:$G$1,0))</f>
        <v>2.5</v>
      </c>
      <c r="L880" s="5">
        <f>INDEX(Product!$A$1:$G$49,MATCH(orders!$D880,Product!$A$1:$A$49,0),MATCH(orders!L$1,Product!$A$1:$G$1,0))</f>
        <v>27.484999999999996</v>
      </c>
      <c r="M880" s="5">
        <f t="shared" si="13"/>
        <v>27.484999999999996</v>
      </c>
      <c r="N880" t="str" cm="1">
        <f t="array" ref="N880">_xlfn.IFS(I880="Rob", "Robusta", I880="Exc", "Excelsa", I880="Ara", "Arabica", I880="Lib", "Liberica", TRUE, "")</f>
        <v>Robusta</v>
      </c>
      <c r="O880" t="str" cm="1">
        <f t="array" ref="O880">_xlfn.IFS(J880="M", "Medium", J880="L", "Light", J880="D", "Dark", TRUE, "")</f>
        <v>Light</v>
      </c>
      <c r="P880" t="str">
        <f>_xlfn.XLOOKUP(Table1[[#This Row],[Customer ID]], customers!$A$1:$A$1001, customers!$I$1:$I$1001,, 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INDEX(Product!$A$1:$G$49,MATCH(orders!$D881,Product!$A$1:$A$49,0),MATCH(orders!I$1,Product!$A$1:$G$1,0))</f>
        <v>Exc</v>
      </c>
      <c r="J881" t="str">
        <f>INDEX(Product!$A$1:$G$49,MATCH(orders!$D881,Product!$A$1:$A$49,0),MATCH(orders!J$1,Product!$A$1:$G$1,0))</f>
        <v>D</v>
      </c>
      <c r="K881" s="4">
        <f>INDEX(Product!$A$1:$G$49,MATCH(orders!$D881,Product!$A$1:$A$49,0),MATCH(orders!K$1,Product!$A$1:$G$1,0))</f>
        <v>0.2</v>
      </c>
      <c r="L881" s="5">
        <f>INDEX(Product!$A$1:$G$49,MATCH(orders!$D881,Product!$A$1:$A$49,0),MATCH(orders!L$1,Product!$A$1:$G$1,0))</f>
        <v>3.645</v>
      </c>
      <c r="M881" s="5">
        <f t="shared" si="13"/>
        <v>10.935</v>
      </c>
      <c r="N881" t="str" cm="1">
        <f t="array" ref="N881">_xlfn.IFS(I881="Rob", "Robusta", I881="Exc", "Excelsa", I881="Ara", "Arabica", I881="Lib", "Liberica", TRUE, "")</f>
        <v>Excelsa</v>
      </c>
      <c r="O881" t="str" cm="1">
        <f t="array" ref="O881">_xlfn.IFS(J881="M", "Medium", J881="L", "Light", J881="D", "Dark", TRUE, "")</f>
        <v>Dark</v>
      </c>
      <c r="P881" t="str">
        <f>_xlfn.XLOOKUP(Table1[[#This Row],[Customer ID]], customers!$A$1:$A$1001, customers!$I$1:$I$1001,, 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INDEX(Product!$A$1:$G$49,MATCH(orders!$D882,Product!$A$1:$A$49,0),MATCH(orders!I$1,Product!$A$1:$G$1,0))</f>
        <v>Rob</v>
      </c>
      <c r="J882" t="str">
        <f>INDEX(Product!$A$1:$G$49,MATCH(orders!$D882,Product!$A$1:$A$49,0),MATCH(orders!J$1,Product!$A$1:$G$1,0))</f>
        <v>L</v>
      </c>
      <c r="K882" s="4">
        <f>INDEX(Product!$A$1:$G$49,MATCH(orders!$D882,Product!$A$1:$A$49,0),MATCH(orders!K$1,Product!$A$1:$G$1,0))</f>
        <v>0.2</v>
      </c>
      <c r="L882" s="5">
        <f>INDEX(Product!$A$1:$G$49,MATCH(orders!$D882,Product!$A$1:$A$49,0),MATCH(orders!L$1,Product!$A$1:$G$1,0))</f>
        <v>3.5849999999999995</v>
      </c>
      <c r="M882" s="5">
        <f t="shared" si="13"/>
        <v>7.169999999999999</v>
      </c>
      <c r="N882" t="str" cm="1">
        <f t="array" ref="N882">_xlfn.IFS(I882="Rob", "Robusta", I882="Exc", "Excelsa", I882="Ara", "Arabica", I882="Lib", "Liberica", TRUE, "")</f>
        <v>Robusta</v>
      </c>
      <c r="O882" t="str" cm="1">
        <f t="array" ref="O882">_xlfn.IFS(J882="M", "Medium", J882="L", "Light", J882="D", "Dark", TRUE, "")</f>
        <v>Light</v>
      </c>
      <c r="P882" t="str">
        <f>_xlfn.XLOOKUP(Table1[[#This Row],[Customer ID]], customers!$A$1:$A$1001, customers!$I$1:$I$1001,, 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INDEX(Product!$A$1:$G$49,MATCH(orders!$D883,Product!$A$1:$A$49,0),MATCH(orders!I$1,Product!$A$1:$G$1,0))</f>
        <v>Ara</v>
      </c>
      <c r="J883" t="str">
        <f>INDEX(Product!$A$1:$G$49,MATCH(orders!$D883,Product!$A$1:$A$49,0),MATCH(orders!J$1,Product!$A$1:$G$1,0))</f>
        <v>L</v>
      </c>
      <c r="K883" s="4">
        <f>INDEX(Product!$A$1:$G$49,MATCH(orders!$D883,Product!$A$1:$A$49,0),MATCH(orders!K$1,Product!$A$1:$G$1,0))</f>
        <v>0.2</v>
      </c>
      <c r="L883" s="5">
        <f>INDEX(Product!$A$1:$G$49,MATCH(orders!$D883,Product!$A$1:$A$49,0),MATCH(orders!L$1,Product!$A$1:$G$1,0))</f>
        <v>3.8849999999999998</v>
      </c>
      <c r="M883" s="5">
        <f t="shared" si="13"/>
        <v>23.31</v>
      </c>
      <c r="N883" t="str" cm="1">
        <f t="array" ref="N883">_xlfn.IFS(I883="Rob", "Robusta", I883="Exc", "Excelsa", I883="Ara", "Arabica", I883="Lib", "Liberica", TRUE, "")</f>
        <v>Arabica</v>
      </c>
      <c r="O883" t="str" cm="1">
        <f t="array" ref="O883">_xlfn.IFS(J883="M", "Medium", J883="L", "Light", J883="D", "Dark", TRUE, "")</f>
        <v>Light</v>
      </c>
      <c r="P883" t="str">
        <f>_xlfn.XLOOKUP(Table1[[#This Row],[Customer ID]], customers!$A$1:$A$1001, customers!$I$1:$I$1001,, 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INDEX(Product!$A$1:$G$49,MATCH(orders!$D884,Product!$A$1:$A$49,0),MATCH(orders!I$1,Product!$A$1:$G$1,0))</f>
        <v>Ara</v>
      </c>
      <c r="J884" t="str">
        <f>INDEX(Product!$A$1:$G$49,MATCH(orders!$D884,Product!$A$1:$A$49,0),MATCH(orders!J$1,Product!$A$1:$G$1,0))</f>
        <v>D</v>
      </c>
      <c r="K884" s="4">
        <f>INDEX(Product!$A$1:$G$49,MATCH(orders!$D884,Product!$A$1:$A$49,0),MATCH(orders!K$1,Product!$A$1:$G$1,0))</f>
        <v>2.5</v>
      </c>
      <c r="L884" s="5">
        <f>INDEX(Product!$A$1:$G$49,MATCH(orders!$D884,Product!$A$1:$A$49,0),MATCH(orders!L$1,Product!$A$1:$G$1,0))</f>
        <v>22.884999999999998</v>
      </c>
      <c r="M884" s="5">
        <f t="shared" si="13"/>
        <v>114.42499999999998</v>
      </c>
      <c r="N884" t="str" cm="1">
        <f t="array" ref="N884">_xlfn.IFS(I884="Rob", "Robusta", I884="Exc", "Excelsa", I884="Ara", "Arabica", I884="Lib", "Liberica", TRUE, "")</f>
        <v>Arabica</v>
      </c>
      <c r="O884" t="str" cm="1">
        <f t="array" ref="O884">_xlfn.IFS(J884="M", "Medium", J884="L", "Light", J884="D", "Dark", TRUE, "")</f>
        <v>Dark</v>
      </c>
      <c r="P884" t="str">
        <f>_xlfn.XLOOKUP(Table1[[#This Row],[Customer ID]], customers!$A$1:$A$1001, customers!$I$1:$I$1001,, 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INDEX(Product!$A$1:$G$49,MATCH(orders!$D885,Product!$A$1:$A$49,0),MATCH(orders!I$1,Product!$A$1:$G$1,0))</f>
        <v>Ara</v>
      </c>
      <c r="J885" t="str">
        <f>INDEX(Product!$A$1:$G$49,MATCH(orders!$D885,Product!$A$1:$A$49,0),MATCH(orders!J$1,Product!$A$1:$G$1,0))</f>
        <v>M</v>
      </c>
      <c r="K885" s="4">
        <f>INDEX(Product!$A$1:$G$49,MATCH(orders!$D885,Product!$A$1:$A$49,0),MATCH(orders!K$1,Product!$A$1:$G$1,0))</f>
        <v>2.5</v>
      </c>
      <c r="L885" s="5">
        <f>INDEX(Product!$A$1:$G$49,MATCH(orders!$D885,Product!$A$1:$A$49,0),MATCH(orders!L$1,Product!$A$1:$G$1,0))</f>
        <v>25.874999999999996</v>
      </c>
      <c r="M885" s="5">
        <f t="shared" si="13"/>
        <v>77.624999999999986</v>
      </c>
      <c r="N885" t="str" cm="1">
        <f t="array" ref="N885">_xlfn.IFS(I885="Rob", "Robusta", I885="Exc", "Excelsa", I885="Ara", "Arabica", I885="Lib", "Liberica", TRUE, "")</f>
        <v>Arabica</v>
      </c>
      <c r="O885" t="str" cm="1">
        <f t="array" ref="O885">_xlfn.IFS(J885="M", "Medium", J885="L", "Light", J885="D", "Dark", TRUE, "")</f>
        <v>Medium</v>
      </c>
      <c r="P885" t="str">
        <f>_xlfn.XLOOKUP(Table1[[#This Row],[Customer ID]], customers!$A$1:$A$1001, customers!$I$1:$I$1001,, 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INDEX(Product!$A$1:$G$49,MATCH(orders!$D886,Product!$A$1:$A$49,0),MATCH(orders!I$1,Product!$A$1:$G$1,0))</f>
        <v>Rob</v>
      </c>
      <c r="J886" t="str">
        <f>INDEX(Product!$A$1:$G$49,MATCH(orders!$D886,Product!$A$1:$A$49,0),MATCH(orders!J$1,Product!$A$1:$G$1,0))</f>
        <v>D</v>
      </c>
      <c r="K886" s="4">
        <f>INDEX(Product!$A$1:$G$49,MATCH(orders!$D886,Product!$A$1:$A$49,0),MATCH(orders!K$1,Product!$A$1:$G$1,0))</f>
        <v>0.5</v>
      </c>
      <c r="L886" s="5">
        <f>INDEX(Product!$A$1:$G$49,MATCH(orders!$D886,Product!$A$1:$A$49,0),MATCH(orders!L$1,Product!$A$1:$G$1,0))</f>
        <v>5.3699999999999992</v>
      </c>
      <c r="M886" s="5">
        <f t="shared" si="13"/>
        <v>5.3699999999999992</v>
      </c>
      <c r="N886" t="str" cm="1">
        <f t="array" ref="N886">_xlfn.IFS(I886="Rob", "Robusta", I886="Exc", "Excelsa", I886="Ara", "Arabica", I886="Lib", "Liberica", TRUE, "")</f>
        <v>Robusta</v>
      </c>
      <c r="O886" t="str" cm="1">
        <f t="array" ref="O886">_xlfn.IFS(J886="M", "Medium", J886="L", "Light", J886="D", "Dark", TRUE, "")</f>
        <v>Dark</v>
      </c>
      <c r="P886" t="str">
        <f>_xlfn.XLOOKUP(Table1[[#This Row],[Customer ID]], customers!$A$1:$A$1001, customers!$I$1:$I$1001,, 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INDEX(Product!$A$1:$G$49,MATCH(orders!$D887,Product!$A$1:$A$49,0),MATCH(orders!I$1,Product!$A$1:$G$1,0))</f>
        <v>Rob</v>
      </c>
      <c r="J887" t="str">
        <f>INDEX(Product!$A$1:$G$49,MATCH(orders!$D887,Product!$A$1:$A$49,0),MATCH(orders!J$1,Product!$A$1:$G$1,0))</f>
        <v>D</v>
      </c>
      <c r="K887" s="4">
        <f>INDEX(Product!$A$1:$G$49,MATCH(orders!$D887,Product!$A$1:$A$49,0),MATCH(orders!K$1,Product!$A$1:$G$1,0))</f>
        <v>2.5</v>
      </c>
      <c r="L887" s="5">
        <f>INDEX(Product!$A$1:$G$49,MATCH(orders!$D887,Product!$A$1:$A$49,0),MATCH(orders!L$1,Product!$A$1:$G$1,0))</f>
        <v>20.584999999999997</v>
      </c>
      <c r="M887" s="5">
        <f t="shared" si="13"/>
        <v>123.50999999999999</v>
      </c>
      <c r="N887" t="str" cm="1">
        <f t="array" ref="N887">_xlfn.IFS(I887="Rob", "Robusta", I887="Exc", "Excelsa", I887="Ara", "Arabica", I887="Lib", "Liberica", TRUE, "")</f>
        <v>Robusta</v>
      </c>
      <c r="O887" t="str" cm="1">
        <f t="array" ref="O887">_xlfn.IFS(J887="M", "Medium", J887="L", "Light", J887="D", "Dark", TRUE, "")</f>
        <v>Dark</v>
      </c>
      <c r="P887" t="str">
        <f>_xlfn.XLOOKUP(Table1[[#This Row],[Customer ID]], customers!$A$1:$A$1001, customers!$I$1:$I$1001,, 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INDEX(Product!$A$1:$G$49,MATCH(orders!$D888,Product!$A$1:$A$49,0),MATCH(orders!I$1,Product!$A$1:$G$1,0))</f>
        <v>Lib</v>
      </c>
      <c r="J888" t="str">
        <f>INDEX(Product!$A$1:$G$49,MATCH(orders!$D888,Product!$A$1:$A$49,0),MATCH(orders!J$1,Product!$A$1:$G$1,0))</f>
        <v>M</v>
      </c>
      <c r="K888" s="4">
        <f>INDEX(Product!$A$1:$G$49,MATCH(orders!$D888,Product!$A$1:$A$49,0),MATCH(orders!K$1,Product!$A$1:$G$1,0))</f>
        <v>0.5</v>
      </c>
      <c r="L888" s="5">
        <f>INDEX(Product!$A$1:$G$49,MATCH(orders!$D888,Product!$A$1:$A$49,0),MATCH(orders!L$1,Product!$A$1:$G$1,0))</f>
        <v>8.73</v>
      </c>
      <c r="M888" s="5">
        <f t="shared" si="13"/>
        <v>17.46</v>
      </c>
      <c r="N888" t="str" cm="1">
        <f t="array" ref="N888">_xlfn.IFS(I888="Rob", "Robusta", I888="Exc", "Excelsa", I888="Ara", "Arabica", I888="Lib", "Liberica", TRUE, "")</f>
        <v>Liberica</v>
      </c>
      <c r="O888" t="str" cm="1">
        <f t="array" ref="O888">_xlfn.IFS(J888="M", "Medium", J888="L", "Light", J888="D", "Dark", TRUE, "")</f>
        <v>Medium</v>
      </c>
      <c r="P888" t="str">
        <f>_xlfn.XLOOKUP(Table1[[#This Row],[Customer ID]], customers!$A$1:$A$1001, customers!$I$1:$I$1001,, 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INDEX(Product!$A$1:$G$49,MATCH(orders!$D889,Product!$A$1:$A$49,0),MATCH(orders!I$1,Product!$A$1:$G$1,0))</f>
        <v>Exc</v>
      </c>
      <c r="J889" t="str">
        <f>INDEX(Product!$A$1:$G$49,MATCH(orders!$D889,Product!$A$1:$A$49,0),MATCH(orders!J$1,Product!$A$1:$G$1,0))</f>
        <v>L</v>
      </c>
      <c r="K889" s="4">
        <f>INDEX(Product!$A$1:$G$49,MATCH(orders!$D889,Product!$A$1:$A$49,0),MATCH(orders!K$1,Product!$A$1:$G$1,0))</f>
        <v>0.2</v>
      </c>
      <c r="L889" s="5">
        <f>INDEX(Product!$A$1:$G$49,MATCH(orders!$D889,Product!$A$1:$A$49,0),MATCH(orders!L$1,Product!$A$1:$G$1,0))</f>
        <v>4.4550000000000001</v>
      </c>
      <c r="M889" s="5">
        <f t="shared" si="13"/>
        <v>13.365</v>
      </c>
      <c r="N889" t="str" cm="1">
        <f t="array" ref="N889">_xlfn.IFS(I889="Rob", "Robusta", I889="Exc", "Excelsa", I889="Ara", "Arabica", I889="Lib", "Liberica", TRUE, "")</f>
        <v>Excelsa</v>
      </c>
      <c r="O889" t="str" cm="1">
        <f t="array" ref="O889">_xlfn.IFS(J889="M", "Medium", J889="L", "Light", J889="D", "Dark", TRUE, "")</f>
        <v>Light</v>
      </c>
      <c r="P889" t="str">
        <f>_xlfn.XLOOKUP(Table1[[#This Row],[Customer ID]], customers!$A$1:$A$1001, customers!$I$1:$I$1001,, 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INDEX(Product!$A$1:$G$49,MATCH(orders!$D890,Product!$A$1:$A$49,0),MATCH(orders!I$1,Product!$A$1:$G$1,0))</f>
        <v>Ara</v>
      </c>
      <c r="J890" t="str">
        <f>INDEX(Product!$A$1:$G$49,MATCH(orders!$D890,Product!$A$1:$A$49,0),MATCH(orders!J$1,Product!$A$1:$G$1,0))</f>
        <v>L</v>
      </c>
      <c r="K890" s="4">
        <f>INDEX(Product!$A$1:$G$49,MATCH(orders!$D890,Product!$A$1:$A$49,0),MATCH(orders!K$1,Product!$A$1:$G$1,0))</f>
        <v>0.2</v>
      </c>
      <c r="L890" s="5">
        <f>INDEX(Product!$A$1:$G$49,MATCH(orders!$D890,Product!$A$1:$A$49,0),MATCH(orders!L$1,Product!$A$1:$G$1,0))</f>
        <v>3.8849999999999998</v>
      </c>
      <c r="M890" s="5">
        <f t="shared" si="13"/>
        <v>7.77</v>
      </c>
      <c r="N890" t="str" cm="1">
        <f t="array" ref="N890">_xlfn.IFS(I890="Rob", "Robusta", I890="Exc", "Excelsa", I890="Ara", "Arabica", I890="Lib", "Liberica", TRUE, "")</f>
        <v>Arabica</v>
      </c>
      <c r="O890" t="str" cm="1">
        <f t="array" ref="O890">_xlfn.IFS(J890="M", "Medium", J890="L", "Light", J890="D", "Dark", TRUE, "")</f>
        <v>Light</v>
      </c>
      <c r="P890" t="str">
        <f>_xlfn.XLOOKUP(Table1[[#This Row],[Customer ID]], customers!$A$1:$A$1001, customers!$I$1:$I$1001,, 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INDEX(Product!$A$1:$G$49,MATCH(orders!$D891,Product!$A$1:$A$49,0),MATCH(orders!I$1,Product!$A$1:$G$1,0))</f>
        <v>Rob</v>
      </c>
      <c r="J891" t="str">
        <f>INDEX(Product!$A$1:$G$49,MATCH(orders!$D891,Product!$A$1:$A$49,0),MATCH(orders!J$1,Product!$A$1:$G$1,0))</f>
        <v>D</v>
      </c>
      <c r="K891" s="4">
        <f>INDEX(Product!$A$1:$G$49,MATCH(orders!$D891,Product!$A$1:$A$49,0),MATCH(orders!K$1,Product!$A$1:$G$1,0))</f>
        <v>0.2</v>
      </c>
      <c r="L891" s="5">
        <f>INDEX(Product!$A$1:$G$49,MATCH(orders!$D891,Product!$A$1:$A$49,0),MATCH(orders!L$1,Product!$A$1:$G$1,0))</f>
        <v>2.6849999999999996</v>
      </c>
      <c r="M891" s="5">
        <f t="shared" si="13"/>
        <v>2.6849999999999996</v>
      </c>
      <c r="N891" t="str" cm="1">
        <f t="array" ref="N891">_xlfn.IFS(I891="Rob", "Robusta", I891="Exc", "Excelsa", I891="Ara", "Arabica", I891="Lib", "Liberica", TRUE, "")</f>
        <v>Robusta</v>
      </c>
      <c r="O891" t="str" cm="1">
        <f t="array" ref="O891">_xlfn.IFS(J891="M", "Medium", J891="L", "Light", J891="D", "Dark", TRUE, "")</f>
        <v>Dark</v>
      </c>
      <c r="P891" t="str">
        <f>_xlfn.XLOOKUP(Table1[[#This Row],[Customer ID]], customers!$A$1:$A$1001, customers!$I$1:$I$1001,, 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INDEX(Product!$A$1:$G$49,MATCH(orders!$D892,Product!$A$1:$A$49,0),MATCH(orders!I$1,Product!$A$1:$G$1,0))</f>
        <v>Rob</v>
      </c>
      <c r="J892" t="str">
        <f>INDEX(Product!$A$1:$G$49,MATCH(orders!$D892,Product!$A$1:$A$49,0),MATCH(orders!J$1,Product!$A$1:$G$1,0))</f>
        <v>D</v>
      </c>
      <c r="K892" s="4">
        <f>INDEX(Product!$A$1:$G$49,MATCH(orders!$D892,Product!$A$1:$A$49,0),MATCH(orders!K$1,Product!$A$1:$G$1,0))</f>
        <v>2.5</v>
      </c>
      <c r="L892" s="5">
        <f>INDEX(Product!$A$1:$G$49,MATCH(orders!$D892,Product!$A$1:$A$49,0),MATCH(orders!L$1,Product!$A$1:$G$1,0))</f>
        <v>20.584999999999997</v>
      </c>
      <c r="M892" s="5">
        <f t="shared" si="13"/>
        <v>20.584999999999997</v>
      </c>
      <c r="N892" t="str" cm="1">
        <f t="array" ref="N892">_xlfn.IFS(I892="Rob", "Robusta", I892="Exc", "Excelsa", I892="Ara", "Arabica", I892="Lib", "Liberica", TRUE, "")</f>
        <v>Robusta</v>
      </c>
      <c r="O892" t="str" cm="1">
        <f t="array" ref="O892">_xlfn.IFS(J892="M", "Medium", J892="L", "Light", J892="D", "Dark", TRUE, "")</f>
        <v>Dark</v>
      </c>
      <c r="P892" t="str">
        <f>_xlfn.XLOOKUP(Table1[[#This Row],[Customer ID]], customers!$A$1:$A$1001, customers!$I$1:$I$1001,, 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INDEX(Product!$A$1:$G$49,MATCH(orders!$D893,Product!$A$1:$A$49,0),MATCH(orders!I$1,Product!$A$1:$G$1,0))</f>
        <v>Ara</v>
      </c>
      <c r="J893" t="str">
        <f>INDEX(Product!$A$1:$G$49,MATCH(orders!$D893,Product!$A$1:$A$49,0),MATCH(orders!J$1,Product!$A$1:$G$1,0))</f>
        <v>D</v>
      </c>
      <c r="K893" s="4">
        <f>INDEX(Product!$A$1:$G$49,MATCH(orders!$D893,Product!$A$1:$A$49,0),MATCH(orders!K$1,Product!$A$1:$G$1,0))</f>
        <v>2.5</v>
      </c>
      <c r="L893" s="5">
        <f>INDEX(Product!$A$1:$G$49,MATCH(orders!$D893,Product!$A$1:$A$49,0),MATCH(orders!L$1,Product!$A$1:$G$1,0))</f>
        <v>22.884999999999998</v>
      </c>
      <c r="M893" s="5">
        <f t="shared" si="13"/>
        <v>114.42499999999998</v>
      </c>
      <c r="N893" t="str" cm="1">
        <f t="array" ref="N893">_xlfn.IFS(I893="Rob", "Robusta", I893="Exc", "Excelsa", I893="Ara", "Arabica", I893="Lib", "Liberica", TRUE, "")</f>
        <v>Arabica</v>
      </c>
      <c r="O893" t="str" cm="1">
        <f t="array" ref="O893">_xlfn.IFS(J893="M", "Medium", J893="L", "Light", J893="D", "Dark", TRUE, "")</f>
        <v>Dark</v>
      </c>
      <c r="P893" t="str">
        <f>_xlfn.XLOOKUP(Table1[[#This Row],[Customer ID]], customers!$A$1:$A$1001, customers!$I$1:$I$1001,, 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INDEX(Product!$A$1:$G$49,MATCH(orders!$D894,Product!$A$1:$A$49,0),MATCH(orders!I$1,Product!$A$1:$G$1,0))</f>
        <v>Exc</v>
      </c>
      <c r="J894" t="str">
        <f>INDEX(Product!$A$1:$G$49,MATCH(orders!$D894,Product!$A$1:$A$49,0),MATCH(orders!J$1,Product!$A$1:$G$1,0))</f>
        <v>M</v>
      </c>
      <c r="K894" s="4">
        <f>INDEX(Product!$A$1:$G$49,MATCH(orders!$D894,Product!$A$1:$A$49,0),MATCH(orders!K$1,Product!$A$1:$G$1,0))</f>
        <v>0.2</v>
      </c>
      <c r="L894" s="5">
        <f>INDEX(Product!$A$1:$G$49,MATCH(orders!$D894,Product!$A$1:$A$49,0),MATCH(orders!L$1,Product!$A$1:$G$1,0))</f>
        <v>4.125</v>
      </c>
      <c r="M894" s="5">
        <f t="shared" si="13"/>
        <v>20.625</v>
      </c>
      <c r="N894" t="str" cm="1">
        <f t="array" ref="N894">_xlfn.IFS(I894="Rob", "Robusta", I894="Exc", "Excelsa", I894="Ara", "Arabica", I894="Lib", "Liberica", TRUE, "")</f>
        <v>Excelsa</v>
      </c>
      <c r="O894" t="str" cm="1">
        <f t="array" ref="O894">_xlfn.IFS(J894="M", "Medium", J894="L", "Light", J894="D", "Dark", TRUE, "")</f>
        <v>Medium</v>
      </c>
      <c r="P894" t="str">
        <f>_xlfn.XLOOKUP(Table1[[#This Row],[Customer ID]], customers!$A$1:$A$1001, customers!$I$1:$I$1001,, 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INDEX(Product!$A$1:$G$49,MATCH(orders!$D895,Product!$A$1:$A$49,0),MATCH(orders!I$1,Product!$A$1:$G$1,0))</f>
        <v>Lib</v>
      </c>
      <c r="J895" t="str">
        <f>INDEX(Product!$A$1:$G$49,MATCH(orders!$D895,Product!$A$1:$A$49,0),MATCH(orders!J$1,Product!$A$1:$G$1,0))</f>
        <v>L</v>
      </c>
      <c r="K895" s="4">
        <f>INDEX(Product!$A$1:$G$49,MATCH(orders!$D895,Product!$A$1:$A$49,0),MATCH(orders!K$1,Product!$A$1:$G$1,0))</f>
        <v>0.5</v>
      </c>
      <c r="L895" s="5">
        <f>INDEX(Product!$A$1:$G$49,MATCH(orders!$D895,Product!$A$1:$A$49,0),MATCH(orders!L$1,Product!$A$1:$G$1,0))</f>
        <v>9.51</v>
      </c>
      <c r="M895" s="5">
        <f t="shared" si="13"/>
        <v>57.06</v>
      </c>
      <c r="N895" t="str" cm="1">
        <f t="array" ref="N895">_xlfn.IFS(I895="Rob", "Robusta", I895="Exc", "Excelsa", I895="Ara", "Arabica", I895="Lib", "Liberica", TRUE, "")</f>
        <v>Liberica</v>
      </c>
      <c r="O895" t="str" cm="1">
        <f t="array" ref="O895">_xlfn.IFS(J895="M", "Medium", J895="L", "Light", J895="D", "Dark", TRUE, "")</f>
        <v>Light</v>
      </c>
      <c r="P895" t="str">
        <f>_xlfn.XLOOKUP(Table1[[#This Row],[Customer ID]], customers!$A$1:$A$1001, customers!$I$1:$I$1001,, 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INDEX(Product!$A$1:$G$49,MATCH(orders!$D896,Product!$A$1:$A$49,0),MATCH(orders!I$1,Product!$A$1:$G$1,0))</f>
        <v>Rob</v>
      </c>
      <c r="J896" t="str">
        <f>INDEX(Product!$A$1:$G$49,MATCH(orders!$D896,Product!$A$1:$A$49,0),MATCH(orders!J$1,Product!$A$1:$G$1,0))</f>
        <v>D</v>
      </c>
      <c r="K896" s="4">
        <f>INDEX(Product!$A$1:$G$49,MATCH(orders!$D896,Product!$A$1:$A$49,0),MATCH(orders!K$1,Product!$A$1:$G$1,0))</f>
        <v>2.5</v>
      </c>
      <c r="L896" s="5">
        <f>INDEX(Product!$A$1:$G$49,MATCH(orders!$D896,Product!$A$1:$A$49,0),MATCH(orders!L$1,Product!$A$1:$G$1,0))</f>
        <v>20.584999999999997</v>
      </c>
      <c r="M896" s="5">
        <f t="shared" si="13"/>
        <v>82.339999999999989</v>
      </c>
      <c r="N896" t="str" cm="1">
        <f t="array" ref="N896">_xlfn.IFS(I896="Rob", "Robusta", I896="Exc", "Excelsa", I896="Ara", "Arabica", I896="Lib", "Liberica", TRUE, "")</f>
        <v>Robusta</v>
      </c>
      <c r="O896" t="str" cm="1">
        <f t="array" ref="O896">_xlfn.IFS(J896="M", "Medium", J896="L", "Light", J896="D", "Dark", TRUE, "")</f>
        <v>Dark</v>
      </c>
      <c r="P896" t="str">
        <f>_xlfn.XLOOKUP(Table1[[#This Row],[Customer ID]], customers!$A$1:$A$1001, customers!$I$1:$I$1001,, 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INDEX(Product!$A$1:$G$49,MATCH(orders!$D897,Product!$A$1:$A$49,0),MATCH(orders!I$1,Product!$A$1:$G$1,0))</f>
        <v>Exc</v>
      </c>
      <c r="J897" t="str">
        <f>INDEX(Product!$A$1:$G$49,MATCH(orders!$D897,Product!$A$1:$A$49,0),MATCH(orders!J$1,Product!$A$1:$G$1,0))</f>
        <v>M</v>
      </c>
      <c r="K897" s="4">
        <f>INDEX(Product!$A$1:$G$49,MATCH(orders!$D897,Product!$A$1:$A$49,0),MATCH(orders!K$1,Product!$A$1:$G$1,0))</f>
        <v>2.5</v>
      </c>
      <c r="L897" s="5">
        <f>INDEX(Product!$A$1:$G$49,MATCH(orders!$D897,Product!$A$1:$A$49,0),MATCH(orders!L$1,Product!$A$1:$G$1,0))</f>
        <v>31.624999999999996</v>
      </c>
      <c r="M897" s="5">
        <f t="shared" si="13"/>
        <v>158.12499999999997</v>
      </c>
      <c r="N897" t="str" cm="1">
        <f t="array" ref="N897">_xlfn.IFS(I897="Rob", "Robusta", I897="Exc", "Excelsa", I897="Ara", "Arabica", I897="Lib", "Liberica", TRUE, "")</f>
        <v>Excelsa</v>
      </c>
      <c r="O897" t="str" cm="1">
        <f t="array" ref="O897">_xlfn.IFS(J897="M", "Medium", J897="L", "Light", J897="D", "Dark", TRUE, "")</f>
        <v>Medium</v>
      </c>
      <c r="P897" t="str">
        <f>_xlfn.XLOOKUP(Table1[[#This Row],[Customer ID]], customers!$A$1:$A$1001, customers!$I$1:$I$1001,, 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INDEX(Product!$A$1:$G$49,MATCH(orders!$D898,Product!$A$1:$A$49,0),MATCH(orders!I$1,Product!$A$1:$G$1,0))</f>
        <v>Rob</v>
      </c>
      <c r="J898" t="str">
        <f>INDEX(Product!$A$1:$G$49,MATCH(orders!$D898,Product!$A$1:$A$49,0),MATCH(orders!J$1,Product!$A$1:$G$1,0))</f>
        <v>D</v>
      </c>
      <c r="K898" s="4">
        <f>INDEX(Product!$A$1:$G$49,MATCH(orders!$D898,Product!$A$1:$A$49,0),MATCH(orders!K$1,Product!$A$1:$G$1,0))</f>
        <v>0.5</v>
      </c>
      <c r="L898" s="5">
        <f>INDEX(Product!$A$1:$G$49,MATCH(orders!$D898,Product!$A$1:$A$49,0),MATCH(orders!L$1,Product!$A$1:$G$1,0))</f>
        <v>5.3699999999999992</v>
      </c>
      <c r="M898" s="5">
        <f t="shared" ref="M898:M961" si="14">L898*E898</f>
        <v>32.22</v>
      </c>
      <c r="N898" t="str" cm="1">
        <f t="array" ref="N898">_xlfn.IFS(I898="Rob", "Robusta", I898="Exc", "Excelsa", I898="Ara", "Arabica", I898="Lib", "Liberica", TRUE, "")</f>
        <v>Robusta</v>
      </c>
      <c r="O898" t="str" cm="1">
        <f t="array" ref="O898">_xlfn.IFS(J898="M", "Medium", J898="L", "Light", J898="D", "Dark", TRUE, "")</f>
        <v>Dark</v>
      </c>
      <c r="P898" t="str">
        <f>_xlfn.XLOOKUP(Table1[[#This Row],[Customer ID]], customers!$A$1:$A$1001, customers!$I$1:$I$1001,, 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INDEX(Product!$A$1:$G$49,MATCH(orders!$D899,Product!$A$1:$A$49,0),MATCH(orders!I$1,Product!$A$1:$G$1,0))</f>
        <v>Exc</v>
      </c>
      <c r="J899" t="str">
        <f>INDEX(Product!$A$1:$G$49,MATCH(orders!$D899,Product!$A$1:$A$49,0),MATCH(orders!J$1,Product!$A$1:$G$1,0))</f>
        <v>D</v>
      </c>
      <c r="K899" s="4">
        <f>INDEX(Product!$A$1:$G$49,MATCH(orders!$D899,Product!$A$1:$A$49,0),MATCH(orders!K$1,Product!$A$1:$G$1,0))</f>
        <v>1</v>
      </c>
      <c r="L899" s="5">
        <f>INDEX(Product!$A$1:$G$49,MATCH(orders!$D899,Product!$A$1:$A$49,0),MATCH(orders!L$1,Product!$A$1:$G$1,0))</f>
        <v>12.15</v>
      </c>
      <c r="M899" s="5">
        <f t="shared" si="14"/>
        <v>24.3</v>
      </c>
      <c r="N899" t="str" cm="1">
        <f t="array" ref="N899">_xlfn.IFS(I899="Rob", "Robusta", I899="Exc", "Excelsa", I899="Ara", "Arabica", I899="Lib", "Liberica", TRUE, "")</f>
        <v>Excelsa</v>
      </c>
      <c r="O899" t="str" cm="1">
        <f t="array" ref="O899">_xlfn.IFS(J899="M", "Medium", J899="L", "Light", J899="D", "Dark", TRUE, "")</f>
        <v>Dark</v>
      </c>
      <c r="P899" t="str">
        <f>_xlfn.XLOOKUP(Table1[[#This Row],[Customer ID]], customers!$A$1:$A$1001, customers!$I$1:$I$1001,, 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INDEX(Product!$A$1:$G$49,MATCH(orders!$D900,Product!$A$1:$A$49,0),MATCH(orders!I$1,Product!$A$1:$G$1,0))</f>
        <v>Rob</v>
      </c>
      <c r="J900" t="str">
        <f>INDEX(Product!$A$1:$G$49,MATCH(orders!$D900,Product!$A$1:$A$49,0),MATCH(orders!J$1,Product!$A$1:$G$1,0))</f>
        <v>L</v>
      </c>
      <c r="K900" s="4">
        <f>INDEX(Product!$A$1:$G$49,MATCH(orders!$D900,Product!$A$1:$A$49,0),MATCH(orders!K$1,Product!$A$1:$G$1,0))</f>
        <v>0.5</v>
      </c>
      <c r="L900" s="5">
        <f>INDEX(Product!$A$1:$G$49,MATCH(orders!$D900,Product!$A$1:$A$49,0),MATCH(orders!L$1,Product!$A$1:$G$1,0))</f>
        <v>7.169999999999999</v>
      </c>
      <c r="M900" s="5">
        <f t="shared" si="14"/>
        <v>35.849999999999994</v>
      </c>
      <c r="N900" t="str" cm="1">
        <f t="array" ref="N900">_xlfn.IFS(I900="Rob", "Robusta", I900="Exc", "Excelsa", I900="Ara", "Arabica", I900="Lib", "Liberica", TRUE, "")</f>
        <v>Robusta</v>
      </c>
      <c r="O900" t="str" cm="1">
        <f t="array" ref="O900">_xlfn.IFS(J900="M", "Medium", J900="L", "Light", J900="D", "Dark", TRUE, "")</f>
        <v>Light</v>
      </c>
      <c r="P900" t="str">
        <f>_xlfn.XLOOKUP(Table1[[#This Row],[Customer ID]], customers!$A$1:$A$1001, customers!$I$1:$I$1001,, 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INDEX(Product!$A$1:$G$49,MATCH(orders!$D901,Product!$A$1:$A$49,0),MATCH(orders!I$1,Product!$A$1:$G$1,0))</f>
        <v>Lib</v>
      </c>
      <c r="J901" t="str">
        <f>INDEX(Product!$A$1:$G$49,MATCH(orders!$D901,Product!$A$1:$A$49,0),MATCH(orders!J$1,Product!$A$1:$G$1,0))</f>
        <v>M</v>
      </c>
      <c r="K901" s="4">
        <f>INDEX(Product!$A$1:$G$49,MATCH(orders!$D901,Product!$A$1:$A$49,0),MATCH(orders!K$1,Product!$A$1:$G$1,0))</f>
        <v>1</v>
      </c>
      <c r="L901" s="5">
        <f>INDEX(Product!$A$1:$G$49,MATCH(orders!$D901,Product!$A$1:$A$49,0),MATCH(orders!L$1,Product!$A$1:$G$1,0))</f>
        <v>14.55</v>
      </c>
      <c r="M901" s="5">
        <f t="shared" si="14"/>
        <v>72.75</v>
      </c>
      <c r="N901" t="str" cm="1">
        <f t="array" ref="N901">_xlfn.IFS(I901="Rob", "Robusta", I901="Exc", "Excelsa", I901="Ara", "Arabica", I901="Lib", "Liberica", TRUE, "")</f>
        <v>Liberica</v>
      </c>
      <c r="O901" t="str" cm="1">
        <f t="array" ref="O901">_xlfn.IFS(J901="M", "Medium", J901="L", "Light", J901="D", "Dark", TRUE, "")</f>
        <v>Medium</v>
      </c>
      <c r="P901" t="str">
        <f>_xlfn.XLOOKUP(Table1[[#This Row],[Customer ID]], customers!$A$1:$A$1001, customers!$I$1:$I$1001,, 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INDEX(Product!$A$1:$G$49,MATCH(orders!$D902,Product!$A$1:$A$49,0),MATCH(orders!I$1,Product!$A$1:$G$1,0))</f>
        <v>Lib</v>
      </c>
      <c r="J902" t="str">
        <f>INDEX(Product!$A$1:$G$49,MATCH(orders!$D902,Product!$A$1:$A$49,0),MATCH(orders!J$1,Product!$A$1:$G$1,0))</f>
        <v>L</v>
      </c>
      <c r="K902" s="4">
        <f>INDEX(Product!$A$1:$G$49,MATCH(orders!$D902,Product!$A$1:$A$49,0),MATCH(orders!K$1,Product!$A$1:$G$1,0))</f>
        <v>1</v>
      </c>
      <c r="L902" s="5">
        <f>INDEX(Product!$A$1:$G$49,MATCH(orders!$D902,Product!$A$1:$A$49,0),MATCH(orders!L$1,Product!$A$1:$G$1,0))</f>
        <v>15.85</v>
      </c>
      <c r="M902" s="5">
        <f t="shared" si="14"/>
        <v>47.55</v>
      </c>
      <c r="N902" t="str" cm="1">
        <f t="array" ref="N902">_xlfn.IFS(I902="Rob", "Robusta", I902="Exc", "Excelsa", I902="Ara", "Arabica", I902="Lib", "Liberica", TRUE, "")</f>
        <v>Liberica</v>
      </c>
      <c r="O902" t="str" cm="1">
        <f t="array" ref="O902">_xlfn.IFS(J902="M", "Medium", J902="L", "Light", J902="D", "Dark", TRUE, "")</f>
        <v>Light</v>
      </c>
      <c r="P902" t="str">
        <f>_xlfn.XLOOKUP(Table1[[#This Row],[Customer ID]], customers!$A$1:$A$1001, customers!$I$1:$I$1001,, 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INDEX(Product!$A$1:$G$49,MATCH(orders!$D903,Product!$A$1:$A$49,0),MATCH(orders!I$1,Product!$A$1:$G$1,0))</f>
        <v>Rob</v>
      </c>
      <c r="J903" t="str">
        <f>INDEX(Product!$A$1:$G$49,MATCH(orders!$D903,Product!$A$1:$A$49,0),MATCH(orders!J$1,Product!$A$1:$G$1,0))</f>
        <v>L</v>
      </c>
      <c r="K903" s="4">
        <f>INDEX(Product!$A$1:$G$49,MATCH(orders!$D903,Product!$A$1:$A$49,0),MATCH(orders!K$1,Product!$A$1:$G$1,0))</f>
        <v>0.2</v>
      </c>
      <c r="L903" s="5">
        <f>INDEX(Product!$A$1:$G$49,MATCH(orders!$D903,Product!$A$1:$A$49,0),MATCH(orders!L$1,Product!$A$1:$G$1,0))</f>
        <v>3.5849999999999995</v>
      </c>
      <c r="M903" s="5">
        <f t="shared" si="14"/>
        <v>3.5849999999999995</v>
      </c>
      <c r="N903" t="str" cm="1">
        <f t="array" ref="N903">_xlfn.IFS(I903="Rob", "Robusta", I903="Exc", "Excelsa", I903="Ara", "Arabica", I903="Lib", "Liberica", TRUE, "")</f>
        <v>Robusta</v>
      </c>
      <c r="O903" t="str" cm="1">
        <f t="array" ref="O903">_xlfn.IFS(J903="M", "Medium", J903="L", "Light", J903="D", "Dark", TRUE, "")</f>
        <v>Light</v>
      </c>
      <c r="P903" t="str">
        <f>_xlfn.XLOOKUP(Table1[[#This Row],[Customer ID]], customers!$A$1:$A$1001, customers!$I$1:$I$1001,, 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INDEX(Product!$A$1:$G$49,MATCH(orders!$D904,Product!$A$1:$A$49,0),MATCH(orders!I$1,Product!$A$1:$G$1,0))</f>
        <v>Exc</v>
      </c>
      <c r="J904" t="str">
        <f>INDEX(Product!$A$1:$G$49,MATCH(orders!$D904,Product!$A$1:$A$49,0),MATCH(orders!J$1,Product!$A$1:$G$1,0))</f>
        <v>M</v>
      </c>
      <c r="K904" s="4">
        <f>INDEX(Product!$A$1:$G$49,MATCH(orders!$D904,Product!$A$1:$A$49,0),MATCH(orders!K$1,Product!$A$1:$G$1,0))</f>
        <v>2.5</v>
      </c>
      <c r="L904" s="5">
        <f>INDEX(Product!$A$1:$G$49,MATCH(orders!$D904,Product!$A$1:$A$49,0),MATCH(orders!L$1,Product!$A$1:$G$1,0))</f>
        <v>31.624999999999996</v>
      </c>
      <c r="M904" s="5">
        <f t="shared" si="14"/>
        <v>158.12499999999997</v>
      </c>
      <c r="N904" t="str" cm="1">
        <f t="array" ref="N904">_xlfn.IFS(I904="Rob", "Robusta", I904="Exc", "Excelsa", I904="Ara", "Arabica", I904="Lib", "Liberica", TRUE, "")</f>
        <v>Excelsa</v>
      </c>
      <c r="O904" t="str" cm="1">
        <f t="array" ref="O904">_xlfn.IFS(J904="M", "Medium", J904="L", "Light", J904="D", "Dark", TRUE, "")</f>
        <v>Medium</v>
      </c>
      <c r="P904" t="str">
        <f>_xlfn.XLOOKUP(Table1[[#This Row],[Customer ID]], customers!$A$1:$A$1001, customers!$I$1:$I$1001,, 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INDEX(Product!$A$1:$G$49,MATCH(orders!$D905,Product!$A$1:$A$49,0),MATCH(orders!I$1,Product!$A$1:$G$1,0))</f>
        <v>Lib</v>
      </c>
      <c r="J905" t="str">
        <f>INDEX(Product!$A$1:$G$49,MATCH(orders!$D905,Product!$A$1:$A$49,0),MATCH(orders!J$1,Product!$A$1:$G$1,0))</f>
        <v>M</v>
      </c>
      <c r="K905" s="4">
        <f>INDEX(Product!$A$1:$G$49,MATCH(orders!$D905,Product!$A$1:$A$49,0),MATCH(orders!K$1,Product!$A$1:$G$1,0))</f>
        <v>0.5</v>
      </c>
      <c r="L905" s="5">
        <f>INDEX(Product!$A$1:$G$49,MATCH(orders!$D905,Product!$A$1:$A$49,0),MATCH(orders!L$1,Product!$A$1:$G$1,0))</f>
        <v>8.73</v>
      </c>
      <c r="M905" s="5">
        <f t="shared" si="14"/>
        <v>17.46</v>
      </c>
      <c r="N905" t="str" cm="1">
        <f t="array" ref="N905">_xlfn.IFS(I905="Rob", "Robusta", I905="Exc", "Excelsa", I905="Ara", "Arabica", I905="Lib", "Liberica", TRUE, "")</f>
        <v>Liberica</v>
      </c>
      <c r="O905" t="str" cm="1">
        <f t="array" ref="O905">_xlfn.IFS(J905="M", "Medium", J905="L", "Light", J905="D", "Dark", TRUE, "")</f>
        <v>Medium</v>
      </c>
      <c r="P905" t="str">
        <f>_xlfn.XLOOKUP(Table1[[#This Row],[Customer ID]], customers!$A$1:$A$1001, customers!$I$1:$I$1001,, 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INDEX(Product!$A$1:$G$49,MATCH(orders!$D906,Product!$A$1:$A$49,0),MATCH(orders!I$1,Product!$A$1:$G$1,0))</f>
        <v>Ara</v>
      </c>
      <c r="J906" t="str">
        <f>INDEX(Product!$A$1:$G$49,MATCH(orders!$D906,Product!$A$1:$A$49,0),MATCH(orders!J$1,Product!$A$1:$G$1,0))</f>
        <v>L</v>
      </c>
      <c r="K906" s="4">
        <f>INDEX(Product!$A$1:$G$49,MATCH(orders!$D906,Product!$A$1:$A$49,0),MATCH(orders!K$1,Product!$A$1:$G$1,0))</f>
        <v>2.5</v>
      </c>
      <c r="L906" s="5">
        <f>INDEX(Product!$A$1:$G$49,MATCH(orders!$D906,Product!$A$1:$A$49,0),MATCH(orders!L$1,Product!$A$1:$G$1,0))</f>
        <v>29.784999999999997</v>
      </c>
      <c r="M906" s="5">
        <f t="shared" si="14"/>
        <v>148.92499999999998</v>
      </c>
      <c r="N906" t="str" cm="1">
        <f t="array" ref="N906">_xlfn.IFS(I906="Rob", "Robusta", I906="Exc", "Excelsa", I906="Ara", "Arabica", I906="Lib", "Liberica", TRUE, "")</f>
        <v>Arabica</v>
      </c>
      <c r="O906" t="str" cm="1">
        <f t="array" ref="O906">_xlfn.IFS(J906="M", "Medium", J906="L", "Light", J906="D", "Dark", TRUE, "")</f>
        <v>Light</v>
      </c>
      <c r="P906" t="str">
        <f>_xlfn.XLOOKUP(Table1[[#This Row],[Customer ID]], customers!$A$1:$A$1001, customers!$I$1:$I$1001,, 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INDEX(Product!$A$1:$G$49,MATCH(orders!$D907,Product!$A$1:$A$49,0),MATCH(orders!I$1,Product!$A$1:$G$1,0))</f>
        <v>Ara</v>
      </c>
      <c r="J907" t="str">
        <f>INDEX(Product!$A$1:$G$49,MATCH(orders!$D907,Product!$A$1:$A$49,0),MATCH(orders!J$1,Product!$A$1:$G$1,0))</f>
        <v>M</v>
      </c>
      <c r="K907" s="4">
        <f>INDEX(Product!$A$1:$G$49,MATCH(orders!$D907,Product!$A$1:$A$49,0),MATCH(orders!K$1,Product!$A$1:$G$1,0))</f>
        <v>0.5</v>
      </c>
      <c r="L907" s="5">
        <f>INDEX(Product!$A$1:$G$49,MATCH(orders!$D907,Product!$A$1:$A$49,0),MATCH(orders!L$1,Product!$A$1:$G$1,0))</f>
        <v>6.75</v>
      </c>
      <c r="M907" s="5">
        <f t="shared" si="14"/>
        <v>40.5</v>
      </c>
      <c r="N907" t="str" cm="1">
        <f t="array" ref="N907">_xlfn.IFS(I907="Rob", "Robusta", I907="Exc", "Excelsa", I907="Ara", "Arabica", I907="Lib", "Liberica", TRUE, "")</f>
        <v>Arabica</v>
      </c>
      <c r="O907" t="str" cm="1">
        <f t="array" ref="O907">_xlfn.IFS(J907="M", "Medium", J907="L", "Light", J907="D", "Dark", TRUE, "")</f>
        <v>Medium</v>
      </c>
      <c r="P907" t="str">
        <f>_xlfn.XLOOKUP(Table1[[#This Row],[Customer ID]], customers!$A$1:$A$1001, customers!$I$1:$I$1001,, 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INDEX(Product!$A$1:$G$49,MATCH(orders!$D908,Product!$A$1:$A$49,0),MATCH(orders!I$1,Product!$A$1:$G$1,0))</f>
        <v>Ara</v>
      </c>
      <c r="J908" t="str">
        <f>INDEX(Product!$A$1:$G$49,MATCH(orders!$D908,Product!$A$1:$A$49,0),MATCH(orders!J$1,Product!$A$1:$G$1,0))</f>
        <v>M</v>
      </c>
      <c r="K908" s="4">
        <f>INDEX(Product!$A$1:$G$49,MATCH(orders!$D908,Product!$A$1:$A$49,0),MATCH(orders!K$1,Product!$A$1:$G$1,0))</f>
        <v>0.5</v>
      </c>
      <c r="L908" s="5">
        <f>INDEX(Product!$A$1:$G$49,MATCH(orders!$D908,Product!$A$1:$A$49,0),MATCH(orders!L$1,Product!$A$1:$G$1,0))</f>
        <v>6.75</v>
      </c>
      <c r="M908" s="5">
        <f t="shared" si="14"/>
        <v>27</v>
      </c>
      <c r="N908" t="str" cm="1">
        <f t="array" ref="N908">_xlfn.IFS(I908="Rob", "Robusta", I908="Exc", "Excelsa", I908="Ara", "Arabica", I908="Lib", "Liberica", TRUE, "")</f>
        <v>Arabica</v>
      </c>
      <c r="O908" t="str" cm="1">
        <f t="array" ref="O908">_xlfn.IFS(J908="M", "Medium", J908="L", "Light", J908="D", "Dark", TRUE, "")</f>
        <v>Medium</v>
      </c>
      <c r="P908" t="str">
        <f>_xlfn.XLOOKUP(Table1[[#This Row],[Customer ID]], customers!$A$1:$A$1001, customers!$I$1:$I$1001,, 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INDEX(Product!$A$1:$G$49,MATCH(orders!$D909,Product!$A$1:$A$49,0),MATCH(orders!I$1,Product!$A$1:$G$1,0))</f>
        <v>Lib</v>
      </c>
      <c r="J909" t="str">
        <f>INDEX(Product!$A$1:$G$49,MATCH(orders!$D909,Product!$A$1:$A$49,0),MATCH(orders!J$1,Product!$A$1:$G$1,0))</f>
        <v>D</v>
      </c>
      <c r="K909" s="4">
        <f>INDEX(Product!$A$1:$G$49,MATCH(orders!$D909,Product!$A$1:$A$49,0),MATCH(orders!K$1,Product!$A$1:$G$1,0))</f>
        <v>1</v>
      </c>
      <c r="L909" s="5">
        <f>INDEX(Product!$A$1:$G$49,MATCH(orders!$D909,Product!$A$1:$A$49,0),MATCH(orders!L$1,Product!$A$1:$G$1,0))</f>
        <v>12.95</v>
      </c>
      <c r="M909" s="5">
        <f t="shared" si="14"/>
        <v>38.849999999999994</v>
      </c>
      <c r="N909" t="str" cm="1">
        <f t="array" ref="N909">_xlfn.IFS(I909="Rob", "Robusta", I909="Exc", "Excelsa", I909="Ara", "Arabica", I909="Lib", "Liberica", TRUE, "")</f>
        <v>Liberica</v>
      </c>
      <c r="O909" t="str" cm="1">
        <f t="array" ref="O909">_xlfn.IFS(J909="M", "Medium", J909="L", "Light", J909="D", "Dark", TRUE, "")</f>
        <v>Dark</v>
      </c>
      <c r="P909" t="str">
        <f>_xlfn.XLOOKUP(Table1[[#This Row],[Customer ID]], customers!$A$1:$A$1001, customers!$I$1:$I$1001,, 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INDEX(Product!$A$1:$G$49,MATCH(orders!$D910,Product!$A$1:$A$49,0),MATCH(orders!I$1,Product!$A$1:$G$1,0))</f>
        <v>Rob</v>
      </c>
      <c r="J910" t="str">
        <f>INDEX(Product!$A$1:$G$49,MATCH(orders!$D910,Product!$A$1:$A$49,0),MATCH(orders!J$1,Product!$A$1:$G$1,0))</f>
        <v>L</v>
      </c>
      <c r="K910" s="4">
        <f>INDEX(Product!$A$1:$G$49,MATCH(orders!$D910,Product!$A$1:$A$49,0),MATCH(orders!K$1,Product!$A$1:$G$1,0))</f>
        <v>1</v>
      </c>
      <c r="L910" s="5">
        <f>INDEX(Product!$A$1:$G$49,MATCH(orders!$D910,Product!$A$1:$A$49,0),MATCH(orders!L$1,Product!$A$1:$G$1,0))</f>
        <v>11.95</v>
      </c>
      <c r="M910" s="5">
        <f t="shared" si="14"/>
        <v>59.75</v>
      </c>
      <c r="N910" t="str" cm="1">
        <f t="array" ref="N910">_xlfn.IFS(I910="Rob", "Robusta", I910="Exc", "Excelsa", I910="Ara", "Arabica", I910="Lib", "Liberica", TRUE, "")</f>
        <v>Robusta</v>
      </c>
      <c r="O910" t="str" cm="1">
        <f t="array" ref="O910">_xlfn.IFS(J910="M", "Medium", J910="L", "Light", J910="D", "Dark", TRUE, "")</f>
        <v>Light</v>
      </c>
      <c r="P910" t="str">
        <f>_xlfn.XLOOKUP(Table1[[#This Row],[Customer ID]], customers!$A$1:$A$1001, customers!$I$1:$I$1001,, 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INDEX(Product!$A$1:$G$49,MATCH(orders!$D911,Product!$A$1:$A$49,0),MATCH(orders!I$1,Product!$A$1:$G$1,0))</f>
        <v>Rob</v>
      </c>
      <c r="J911" t="str">
        <f>INDEX(Product!$A$1:$G$49,MATCH(orders!$D911,Product!$A$1:$A$49,0),MATCH(orders!J$1,Product!$A$1:$G$1,0))</f>
        <v>L</v>
      </c>
      <c r="K911" s="4">
        <f>INDEX(Product!$A$1:$G$49,MATCH(orders!$D911,Product!$A$1:$A$49,0),MATCH(orders!K$1,Product!$A$1:$G$1,0))</f>
        <v>0.2</v>
      </c>
      <c r="L911" s="5">
        <f>INDEX(Product!$A$1:$G$49,MATCH(orders!$D911,Product!$A$1:$A$49,0),MATCH(orders!L$1,Product!$A$1:$G$1,0))</f>
        <v>3.5849999999999995</v>
      </c>
      <c r="M911" s="5">
        <f t="shared" si="14"/>
        <v>10.754999999999999</v>
      </c>
      <c r="N911" t="str" cm="1">
        <f t="array" ref="N911">_xlfn.IFS(I911="Rob", "Robusta", I911="Exc", "Excelsa", I911="Ara", "Arabica", I911="Lib", "Liberica", TRUE, "")</f>
        <v>Robusta</v>
      </c>
      <c r="O911" t="str" cm="1">
        <f t="array" ref="O911">_xlfn.IFS(J911="M", "Medium", J911="L", "Light", J911="D", "Dark", TRUE, "")</f>
        <v>Light</v>
      </c>
      <c r="P911" t="str">
        <f>_xlfn.XLOOKUP(Table1[[#This Row],[Customer ID]], customers!$A$1:$A$1001, customers!$I$1:$I$1001,, 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INDEX(Product!$A$1:$G$49,MATCH(orders!$D912,Product!$A$1:$A$49,0),MATCH(orders!I$1,Product!$A$1:$G$1,0))</f>
        <v>Ara</v>
      </c>
      <c r="J912" t="str">
        <f>INDEX(Product!$A$1:$G$49,MATCH(orders!$D912,Product!$A$1:$A$49,0),MATCH(orders!J$1,Product!$A$1:$G$1,0))</f>
        <v>D</v>
      </c>
      <c r="K912" s="4">
        <f>INDEX(Product!$A$1:$G$49,MATCH(orders!$D912,Product!$A$1:$A$49,0),MATCH(orders!K$1,Product!$A$1:$G$1,0))</f>
        <v>2.5</v>
      </c>
      <c r="L912" s="5">
        <f>INDEX(Product!$A$1:$G$49,MATCH(orders!$D912,Product!$A$1:$A$49,0),MATCH(orders!L$1,Product!$A$1:$G$1,0))</f>
        <v>22.884999999999998</v>
      </c>
      <c r="M912" s="5">
        <f t="shared" si="14"/>
        <v>91.539999999999992</v>
      </c>
      <c r="N912" t="str" cm="1">
        <f t="array" ref="N912">_xlfn.IFS(I912="Rob", "Robusta", I912="Exc", "Excelsa", I912="Ara", "Arabica", I912="Lib", "Liberica", TRUE, "")</f>
        <v>Arabica</v>
      </c>
      <c r="O912" t="str" cm="1">
        <f t="array" ref="O912">_xlfn.IFS(J912="M", "Medium", J912="L", "Light", J912="D", "Dark", TRUE, "")</f>
        <v>Dark</v>
      </c>
      <c r="P912" t="str">
        <f>_xlfn.XLOOKUP(Table1[[#This Row],[Customer ID]], customers!$A$1:$A$1001, customers!$I$1:$I$1001,, 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INDEX(Product!$A$1:$G$49,MATCH(orders!$D913,Product!$A$1:$A$49,0),MATCH(orders!I$1,Product!$A$1:$G$1,0))</f>
        <v>Ara</v>
      </c>
      <c r="J913" t="str">
        <f>INDEX(Product!$A$1:$G$49,MATCH(orders!$D913,Product!$A$1:$A$49,0),MATCH(orders!J$1,Product!$A$1:$G$1,0))</f>
        <v>M</v>
      </c>
      <c r="K913" s="4">
        <f>INDEX(Product!$A$1:$G$49,MATCH(orders!$D913,Product!$A$1:$A$49,0),MATCH(orders!K$1,Product!$A$1:$G$1,0))</f>
        <v>1</v>
      </c>
      <c r="L913" s="5">
        <f>INDEX(Product!$A$1:$G$49,MATCH(orders!$D913,Product!$A$1:$A$49,0),MATCH(orders!L$1,Product!$A$1:$G$1,0))</f>
        <v>11.25</v>
      </c>
      <c r="M913" s="5">
        <f t="shared" si="14"/>
        <v>45</v>
      </c>
      <c r="N913" t="str" cm="1">
        <f t="array" ref="N913">_xlfn.IFS(I913="Rob", "Robusta", I913="Exc", "Excelsa", I913="Ara", "Arabica", I913="Lib", "Liberica", TRUE, "")</f>
        <v>Arabica</v>
      </c>
      <c r="O913" t="str" cm="1">
        <f t="array" ref="O913">_xlfn.IFS(J913="M", "Medium", J913="L", "Light", J913="D", "Dark", TRUE, "")</f>
        <v>Medium</v>
      </c>
      <c r="P913" t="str">
        <f>_xlfn.XLOOKUP(Table1[[#This Row],[Customer ID]], customers!$A$1:$A$1001, customers!$I$1:$I$1001,, 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INDEX(Product!$A$1:$G$49,MATCH(orders!$D914,Product!$A$1:$A$49,0),MATCH(orders!I$1,Product!$A$1:$G$1,0))</f>
        <v>Rob</v>
      </c>
      <c r="J914" t="str">
        <f>INDEX(Product!$A$1:$G$49,MATCH(orders!$D914,Product!$A$1:$A$49,0),MATCH(orders!J$1,Product!$A$1:$G$1,0))</f>
        <v>M</v>
      </c>
      <c r="K914" s="4">
        <f>INDEX(Product!$A$1:$G$49,MATCH(orders!$D914,Product!$A$1:$A$49,0),MATCH(orders!K$1,Product!$A$1:$G$1,0))</f>
        <v>2.5</v>
      </c>
      <c r="L914" s="5">
        <f>INDEX(Product!$A$1:$G$49,MATCH(orders!$D914,Product!$A$1:$A$49,0),MATCH(orders!L$1,Product!$A$1:$G$1,0))</f>
        <v>22.884999999999998</v>
      </c>
      <c r="M914" s="5">
        <f t="shared" si="14"/>
        <v>137.31</v>
      </c>
      <c r="N914" t="str" cm="1">
        <f t="array" ref="N914">_xlfn.IFS(I914="Rob", "Robusta", I914="Exc", "Excelsa", I914="Ara", "Arabica", I914="Lib", "Liberica", TRUE, "")</f>
        <v>Robusta</v>
      </c>
      <c r="O914" t="str" cm="1">
        <f t="array" ref="O914">_xlfn.IFS(J914="M", "Medium", J914="L", "Light", J914="D", "Dark", TRUE, "")</f>
        <v>Medium</v>
      </c>
      <c r="P914" t="str">
        <f>_xlfn.XLOOKUP(Table1[[#This Row],[Customer ID]], customers!$A$1:$A$1001, customers!$I$1:$I$1001,, 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INDEX(Product!$A$1:$G$49,MATCH(orders!$D915,Product!$A$1:$A$49,0),MATCH(orders!I$1,Product!$A$1:$G$1,0))</f>
        <v>Ara</v>
      </c>
      <c r="J915" t="str">
        <f>INDEX(Product!$A$1:$G$49,MATCH(orders!$D915,Product!$A$1:$A$49,0),MATCH(orders!J$1,Product!$A$1:$G$1,0))</f>
        <v>M</v>
      </c>
      <c r="K915" s="4">
        <f>INDEX(Product!$A$1:$G$49,MATCH(orders!$D915,Product!$A$1:$A$49,0),MATCH(orders!K$1,Product!$A$1:$G$1,0))</f>
        <v>0.5</v>
      </c>
      <c r="L915" s="5">
        <f>INDEX(Product!$A$1:$G$49,MATCH(orders!$D915,Product!$A$1:$A$49,0),MATCH(orders!L$1,Product!$A$1:$G$1,0))</f>
        <v>6.75</v>
      </c>
      <c r="M915" s="5">
        <f t="shared" si="14"/>
        <v>6.75</v>
      </c>
      <c r="N915" t="str" cm="1">
        <f t="array" ref="N915">_xlfn.IFS(I915="Rob", "Robusta", I915="Exc", "Excelsa", I915="Ara", "Arabica", I915="Lib", "Liberica", TRUE, "")</f>
        <v>Arabica</v>
      </c>
      <c r="O915" t="str" cm="1">
        <f t="array" ref="O915">_xlfn.IFS(J915="M", "Medium", J915="L", "Light", J915="D", "Dark", TRUE, "")</f>
        <v>Medium</v>
      </c>
      <c r="P915" t="str">
        <f>_xlfn.XLOOKUP(Table1[[#This Row],[Customer ID]], customers!$A$1:$A$1001, customers!$I$1:$I$1001,, 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INDEX(Product!$A$1:$G$49,MATCH(orders!$D916,Product!$A$1:$A$49,0),MATCH(orders!I$1,Product!$A$1:$G$1,0))</f>
        <v>Ara</v>
      </c>
      <c r="J916" t="str">
        <f>INDEX(Product!$A$1:$G$49,MATCH(orders!$D916,Product!$A$1:$A$49,0),MATCH(orders!J$1,Product!$A$1:$G$1,0))</f>
        <v>M</v>
      </c>
      <c r="K916" s="4">
        <f>INDEX(Product!$A$1:$G$49,MATCH(orders!$D916,Product!$A$1:$A$49,0),MATCH(orders!K$1,Product!$A$1:$G$1,0))</f>
        <v>1</v>
      </c>
      <c r="L916" s="5">
        <f>INDEX(Product!$A$1:$G$49,MATCH(orders!$D916,Product!$A$1:$A$49,0),MATCH(orders!L$1,Product!$A$1:$G$1,0))</f>
        <v>11.25</v>
      </c>
      <c r="M916" s="5">
        <f t="shared" si="14"/>
        <v>45</v>
      </c>
      <c r="N916" t="str" cm="1">
        <f t="array" ref="N916">_xlfn.IFS(I916="Rob", "Robusta", I916="Exc", "Excelsa", I916="Ara", "Arabica", I916="Lib", "Liberica", TRUE, "")</f>
        <v>Arabica</v>
      </c>
      <c r="O916" t="str" cm="1">
        <f t="array" ref="O916">_xlfn.IFS(J916="M", "Medium", J916="L", "Light", J916="D", "Dark", TRUE, "")</f>
        <v>Medium</v>
      </c>
      <c r="P916" t="str">
        <f>_xlfn.XLOOKUP(Table1[[#This Row],[Customer ID]], customers!$A$1:$A$1001, customers!$I$1:$I$1001,, 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INDEX(Product!$A$1:$G$49,MATCH(orders!$D917,Product!$A$1:$A$49,0),MATCH(orders!I$1,Product!$A$1:$G$1,0))</f>
        <v>Exc</v>
      </c>
      <c r="J917" t="str">
        <f>INDEX(Product!$A$1:$G$49,MATCH(orders!$D917,Product!$A$1:$A$49,0),MATCH(orders!J$1,Product!$A$1:$G$1,0))</f>
        <v>D</v>
      </c>
      <c r="K917" s="4">
        <f>INDEX(Product!$A$1:$G$49,MATCH(orders!$D917,Product!$A$1:$A$49,0),MATCH(orders!K$1,Product!$A$1:$G$1,0))</f>
        <v>2.5</v>
      </c>
      <c r="L917" s="5">
        <f>INDEX(Product!$A$1:$G$49,MATCH(orders!$D917,Product!$A$1:$A$49,0),MATCH(orders!L$1,Product!$A$1:$G$1,0))</f>
        <v>27.945</v>
      </c>
      <c r="M917" s="5">
        <f t="shared" si="14"/>
        <v>83.835000000000008</v>
      </c>
      <c r="N917" t="str" cm="1">
        <f t="array" ref="N917">_xlfn.IFS(I917="Rob", "Robusta", I917="Exc", "Excelsa", I917="Ara", "Arabica", I917="Lib", "Liberica", TRUE, "")</f>
        <v>Excelsa</v>
      </c>
      <c r="O917" t="str" cm="1">
        <f t="array" ref="O917">_xlfn.IFS(J917="M", "Medium", J917="L", "Light", J917="D", "Dark", TRUE, "")</f>
        <v>Dark</v>
      </c>
      <c r="P917" t="str">
        <f>_xlfn.XLOOKUP(Table1[[#This Row],[Customer ID]], customers!$A$1:$A$1001, customers!$I$1:$I$1001,, 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INDEX(Product!$A$1:$G$49,MATCH(orders!$D918,Product!$A$1:$A$49,0),MATCH(orders!I$1,Product!$A$1:$G$1,0))</f>
        <v>Exc</v>
      </c>
      <c r="J918" t="str">
        <f>INDEX(Product!$A$1:$G$49,MATCH(orders!$D918,Product!$A$1:$A$49,0),MATCH(orders!J$1,Product!$A$1:$G$1,0))</f>
        <v>D</v>
      </c>
      <c r="K918" s="4">
        <f>INDEX(Product!$A$1:$G$49,MATCH(orders!$D918,Product!$A$1:$A$49,0),MATCH(orders!K$1,Product!$A$1:$G$1,0))</f>
        <v>0.2</v>
      </c>
      <c r="L918" s="5">
        <f>INDEX(Product!$A$1:$G$49,MATCH(orders!$D918,Product!$A$1:$A$49,0),MATCH(orders!L$1,Product!$A$1:$G$1,0))</f>
        <v>3.645</v>
      </c>
      <c r="M918" s="5">
        <f t="shared" si="14"/>
        <v>3.645</v>
      </c>
      <c r="N918" t="str" cm="1">
        <f t="array" ref="N918">_xlfn.IFS(I918="Rob", "Robusta", I918="Exc", "Excelsa", I918="Ara", "Arabica", I918="Lib", "Liberica", TRUE, "")</f>
        <v>Excelsa</v>
      </c>
      <c r="O918" t="str" cm="1">
        <f t="array" ref="O918">_xlfn.IFS(J918="M", "Medium", J918="L", "Light", J918="D", "Dark", TRUE, "")</f>
        <v>Dark</v>
      </c>
      <c r="P918" t="str">
        <f>_xlfn.XLOOKUP(Table1[[#This Row],[Customer ID]], customers!$A$1:$A$1001, customers!$I$1:$I$1001,, 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INDEX(Product!$A$1:$G$49,MATCH(orders!$D919,Product!$A$1:$A$49,0),MATCH(orders!I$1,Product!$A$1:$G$1,0))</f>
        <v>Ara</v>
      </c>
      <c r="J919" t="str">
        <f>INDEX(Product!$A$1:$G$49,MATCH(orders!$D919,Product!$A$1:$A$49,0),MATCH(orders!J$1,Product!$A$1:$G$1,0))</f>
        <v>M</v>
      </c>
      <c r="K919" s="4">
        <f>INDEX(Product!$A$1:$G$49,MATCH(orders!$D919,Product!$A$1:$A$49,0),MATCH(orders!K$1,Product!$A$1:$G$1,0))</f>
        <v>0.5</v>
      </c>
      <c r="L919" s="5">
        <f>INDEX(Product!$A$1:$G$49,MATCH(orders!$D919,Product!$A$1:$A$49,0),MATCH(orders!L$1,Product!$A$1:$G$1,0))</f>
        <v>6.75</v>
      </c>
      <c r="M919" s="5">
        <f t="shared" si="14"/>
        <v>6.75</v>
      </c>
      <c r="N919" t="str" cm="1">
        <f t="array" ref="N919">_xlfn.IFS(I919="Rob", "Robusta", I919="Exc", "Excelsa", I919="Ara", "Arabica", I919="Lib", "Liberica", TRUE, "")</f>
        <v>Arabica</v>
      </c>
      <c r="O919" t="str" cm="1">
        <f t="array" ref="O919">_xlfn.IFS(J919="M", "Medium", J919="L", "Light", J919="D", "Dark", TRUE, "")</f>
        <v>Medium</v>
      </c>
      <c r="P919" t="str">
        <f>_xlfn.XLOOKUP(Table1[[#This Row],[Customer ID]], customers!$A$1:$A$1001, customers!$I$1:$I$1001,, 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INDEX(Product!$A$1:$G$49,MATCH(orders!$D920,Product!$A$1:$A$49,0),MATCH(orders!I$1,Product!$A$1:$G$1,0))</f>
        <v>Exc</v>
      </c>
      <c r="J920" t="str">
        <f>INDEX(Product!$A$1:$G$49,MATCH(orders!$D920,Product!$A$1:$A$49,0),MATCH(orders!J$1,Product!$A$1:$G$1,0))</f>
        <v>D</v>
      </c>
      <c r="K920" s="4">
        <f>INDEX(Product!$A$1:$G$49,MATCH(orders!$D920,Product!$A$1:$A$49,0),MATCH(orders!K$1,Product!$A$1:$G$1,0))</f>
        <v>0.5</v>
      </c>
      <c r="L920" s="5">
        <f>INDEX(Product!$A$1:$G$49,MATCH(orders!$D920,Product!$A$1:$A$49,0),MATCH(orders!L$1,Product!$A$1:$G$1,0))</f>
        <v>7.29</v>
      </c>
      <c r="M920" s="5">
        <f t="shared" si="14"/>
        <v>21.87</v>
      </c>
      <c r="N920" t="str" cm="1">
        <f t="array" ref="N920">_xlfn.IFS(I920="Rob", "Robusta", I920="Exc", "Excelsa", I920="Ara", "Arabica", I920="Lib", "Liberica", TRUE, "")</f>
        <v>Excelsa</v>
      </c>
      <c r="O920" t="str" cm="1">
        <f t="array" ref="O920">_xlfn.IFS(J920="M", "Medium", J920="L", "Light", J920="D", "Dark", TRUE, "")</f>
        <v>Dark</v>
      </c>
      <c r="P920" t="str">
        <f>_xlfn.XLOOKUP(Table1[[#This Row],[Customer ID]], customers!$A$1:$A$1001, customers!$I$1:$I$1001,, 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INDEX(Product!$A$1:$G$49,MATCH(orders!$D921,Product!$A$1:$A$49,0),MATCH(orders!I$1,Product!$A$1:$G$1,0))</f>
        <v>Rob</v>
      </c>
      <c r="J921" t="str">
        <f>INDEX(Product!$A$1:$G$49,MATCH(orders!$D921,Product!$A$1:$A$49,0),MATCH(orders!J$1,Product!$A$1:$G$1,0))</f>
        <v>D</v>
      </c>
      <c r="K921" s="4">
        <f>INDEX(Product!$A$1:$G$49,MATCH(orders!$D921,Product!$A$1:$A$49,0),MATCH(orders!K$1,Product!$A$1:$G$1,0))</f>
        <v>0.2</v>
      </c>
      <c r="L921" s="5">
        <f>INDEX(Product!$A$1:$G$49,MATCH(orders!$D921,Product!$A$1:$A$49,0),MATCH(orders!L$1,Product!$A$1:$G$1,0))</f>
        <v>2.6849999999999996</v>
      </c>
      <c r="M921" s="5">
        <f t="shared" si="14"/>
        <v>13.424999999999997</v>
      </c>
      <c r="N921" t="str" cm="1">
        <f t="array" ref="N921">_xlfn.IFS(I921="Rob", "Robusta", I921="Exc", "Excelsa", I921="Ara", "Arabica", I921="Lib", "Liberica", TRUE, "")</f>
        <v>Robusta</v>
      </c>
      <c r="O921" t="str" cm="1">
        <f t="array" ref="O921">_xlfn.IFS(J921="M", "Medium", J921="L", "Light", J921="D", "Dark", TRUE, "")</f>
        <v>Dark</v>
      </c>
      <c r="P921" t="str">
        <f>_xlfn.XLOOKUP(Table1[[#This Row],[Customer ID]], customers!$A$1:$A$1001, customers!$I$1:$I$1001,, 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INDEX(Product!$A$1:$G$49,MATCH(orders!$D922,Product!$A$1:$A$49,0),MATCH(orders!I$1,Product!$A$1:$G$1,0))</f>
        <v>Rob</v>
      </c>
      <c r="J922" t="str">
        <f>INDEX(Product!$A$1:$G$49,MATCH(orders!$D922,Product!$A$1:$A$49,0),MATCH(orders!J$1,Product!$A$1:$G$1,0))</f>
        <v>D</v>
      </c>
      <c r="K922" s="4">
        <f>INDEX(Product!$A$1:$G$49,MATCH(orders!$D922,Product!$A$1:$A$49,0),MATCH(orders!K$1,Product!$A$1:$G$1,0))</f>
        <v>2.5</v>
      </c>
      <c r="L922" s="5">
        <f>INDEX(Product!$A$1:$G$49,MATCH(orders!$D922,Product!$A$1:$A$49,0),MATCH(orders!L$1,Product!$A$1:$G$1,0))</f>
        <v>20.584999999999997</v>
      </c>
      <c r="M922" s="5">
        <f t="shared" si="14"/>
        <v>123.50999999999999</v>
      </c>
      <c r="N922" t="str" cm="1">
        <f t="array" ref="N922">_xlfn.IFS(I922="Rob", "Robusta", I922="Exc", "Excelsa", I922="Ara", "Arabica", I922="Lib", "Liberica", TRUE, "")</f>
        <v>Robusta</v>
      </c>
      <c r="O922" t="str" cm="1">
        <f t="array" ref="O922">_xlfn.IFS(J922="M", "Medium", J922="L", "Light", J922="D", "Dark", TRUE, "")</f>
        <v>Dark</v>
      </c>
      <c r="P922" t="str">
        <f>_xlfn.XLOOKUP(Table1[[#This Row],[Customer ID]], customers!$A$1:$A$1001, customers!$I$1:$I$1001,, 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INDEX(Product!$A$1:$G$49,MATCH(orders!$D923,Product!$A$1:$A$49,0),MATCH(orders!I$1,Product!$A$1:$G$1,0))</f>
        <v>Lib</v>
      </c>
      <c r="J923" t="str">
        <f>INDEX(Product!$A$1:$G$49,MATCH(orders!$D923,Product!$A$1:$A$49,0),MATCH(orders!J$1,Product!$A$1:$G$1,0))</f>
        <v>D</v>
      </c>
      <c r="K923" s="4">
        <f>INDEX(Product!$A$1:$G$49,MATCH(orders!$D923,Product!$A$1:$A$49,0),MATCH(orders!K$1,Product!$A$1:$G$1,0))</f>
        <v>0.2</v>
      </c>
      <c r="L923" s="5">
        <f>INDEX(Product!$A$1:$G$49,MATCH(orders!$D923,Product!$A$1:$A$49,0),MATCH(orders!L$1,Product!$A$1:$G$1,0))</f>
        <v>3.8849999999999998</v>
      </c>
      <c r="M923" s="5">
        <f t="shared" si="14"/>
        <v>7.77</v>
      </c>
      <c r="N923" t="str" cm="1">
        <f t="array" ref="N923">_xlfn.IFS(I923="Rob", "Robusta", I923="Exc", "Excelsa", I923="Ara", "Arabica", I923="Lib", "Liberica", TRUE, "")</f>
        <v>Liberica</v>
      </c>
      <c r="O923" t="str" cm="1">
        <f t="array" ref="O923">_xlfn.IFS(J923="M", "Medium", J923="L", "Light", J923="D", "Dark", TRUE, "")</f>
        <v>Dark</v>
      </c>
      <c r="P923" t="str">
        <f>_xlfn.XLOOKUP(Table1[[#This Row],[Customer ID]], customers!$A$1:$A$1001, customers!$I$1:$I$1001,, 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INDEX(Product!$A$1:$G$49,MATCH(orders!$D924,Product!$A$1:$A$49,0),MATCH(orders!I$1,Product!$A$1:$G$1,0))</f>
        <v>Ara</v>
      </c>
      <c r="J924" t="str">
        <f>INDEX(Product!$A$1:$G$49,MATCH(orders!$D924,Product!$A$1:$A$49,0),MATCH(orders!J$1,Product!$A$1:$G$1,0))</f>
        <v>M</v>
      </c>
      <c r="K924" s="4">
        <f>INDEX(Product!$A$1:$G$49,MATCH(orders!$D924,Product!$A$1:$A$49,0),MATCH(orders!K$1,Product!$A$1:$G$1,0))</f>
        <v>1</v>
      </c>
      <c r="L924" s="5">
        <f>INDEX(Product!$A$1:$G$49,MATCH(orders!$D924,Product!$A$1:$A$49,0),MATCH(orders!L$1,Product!$A$1:$G$1,0))</f>
        <v>11.25</v>
      </c>
      <c r="M924" s="5">
        <f t="shared" si="14"/>
        <v>67.5</v>
      </c>
      <c r="N924" t="str" cm="1">
        <f t="array" ref="N924">_xlfn.IFS(I924="Rob", "Robusta", I924="Exc", "Excelsa", I924="Ara", "Arabica", I924="Lib", "Liberica", TRUE, "")</f>
        <v>Arabica</v>
      </c>
      <c r="O924" t="str" cm="1">
        <f t="array" ref="O924">_xlfn.IFS(J924="M", "Medium", J924="L", "Light", J924="D", "Dark", TRUE, "")</f>
        <v>Medium</v>
      </c>
      <c r="P924" t="str">
        <f>_xlfn.XLOOKUP(Table1[[#This Row],[Customer ID]], customers!$A$1:$A$1001, customers!$I$1:$I$1001,, 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INDEX(Product!$A$1:$G$49,MATCH(orders!$D925,Product!$A$1:$A$49,0),MATCH(orders!I$1,Product!$A$1:$G$1,0))</f>
        <v>Exc</v>
      </c>
      <c r="J925" t="str">
        <f>INDEX(Product!$A$1:$G$49,MATCH(orders!$D925,Product!$A$1:$A$49,0),MATCH(orders!J$1,Product!$A$1:$G$1,0))</f>
        <v>D</v>
      </c>
      <c r="K925" s="4">
        <f>INDEX(Product!$A$1:$G$49,MATCH(orders!$D925,Product!$A$1:$A$49,0),MATCH(orders!K$1,Product!$A$1:$G$1,0))</f>
        <v>2.5</v>
      </c>
      <c r="L925" s="5">
        <f>INDEX(Product!$A$1:$G$49,MATCH(orders!$D925,Product!$A$1:$A$49,0),MATCH(orders!L$1,Product!$A$1:$G$1,0))</f>
        <v>27.945</v>
      </c>
      <c r="M925" s="5">
        <f t="shared" si="14"/>
        <v>27.945</v>
      </c>
      <c r="N925" t="str" cm="1">
        <f t="array" ref="N925">_xlfn.IFS(I925="Rob", "Robusta", I925="Exc", "Excelsa", I925="Ara", "Arabica", I925="Lib", "Liberica", TRUE, "")</f>
        <v>Excelsa</v>
      </c>
      <c r="O925" t="str" cm="1">
        <f t="array" ref="O925">_xlfn.IFS(J925="M", "Medium", J925="L", "Light", J925="D", "Dark", TRUE, "")</f>
        <v>Dark</v>
      </c>
      <c r="P925" t="str">
        <f>_xlfn.XLOOKUP(Table1[[#This Row],[Customer ID]], customers!$A$1:$A$1001, customers!$I$1:$I$1001,, 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INDEX(Product!$A$1:$G$49,MATCH(orders!$D926,Product!$A$1:$A$49,0),MATCH(orders!I$1,Product!$A$1:$G$1,0))</f>
        <v>Ara</v>
      </c>
      <c r="J926" t="str">
        <f>INDEX(Product!$A$1:$G$49,MATCH(orders!$D926,Product!$A$1:$A$49,0),MATCH(orders!J$1,Product!$A$1:$G$1,0))</f>
        <v>L</v>
      </c>
      <c r="K926" s="4">
        <f>INDEX(Product!$A$1:$G$49,MATCH(orders!$D926,Product!$A$1:$A$49,0),MATCH(orders!K$1,Product!$A$1:$G$1,0))</f>
        <v>2.5</v>
      </c>
      <c r="L926" s="5">
        <f>INDEX(Product!$A$1:$G$49,MATCH(orders!$D926,Product!$A$1:$A$49,0),MATCH(orders!L$1,Product!$A$1:$G$1,0))</f>
        <v>29.784999999999997</v>
      </c>
      <c r="M926" s="5">
        <f t="shared" si="14"/>
        <v>89.35499999999999</v>
      </c>
      <c r="N926" t="str" cm="1">
        <f t="array" ref="N926">_xlfn.IFS(I926="Rob", "Robusta", I926="Exc", "Excelsa", I926="Ara", "Arabica", I926="Lib", "Liberica", TRUE, "")</f>
        <v>Arabica</v>
      </c>
      <c r="O926" t="str" cm="1">
        <f t="array" ref="O926">_xlfn.IFS(J926="M", "Medium", J926="L", "Light", J926="D", "Dark", TRUE, "")</f>
        <v>Light</v>
      </c>
      <c r="P926" t="str">
        <f>_xlfn.XLOOKUP(Table1[[#This Row],[Customer ID]], customers!$A$1:$A$1001, customers!$I$1:$I$1001,, 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INDEX(Product!$A$1:$G$49,MATCH(orders!$D927,Product!$A$1:$A$49,0),MATCH(orders!I$1,Product!$A$1:$G$1,0))</f>
        <v>Ara</v>
      </c>
      <c r="J927" t="str">
        <f>INDEX(Product!$A$1:$G$49,MATCH(orders!$D927,Product!$A$1:$A$49,0),MATCH(orders!J$1,Product!$A$1:$G$1,0))</f>
        <v>M</v>
      </c>
      <c r="K927" s="4">
        <f>INDEX(Product!$A$1:$G$49,MATCH(orders!$D927,Product!$A$1:$A$49,0),MATCH(orders!K$1,Product!$A$1:$G$1,0))</f>
        <v>0.5</v>
      </c>
      <c r="L927" s="5">
        <f>INDEX(Product!$A$1:$G$49,MATCH(orders!$D927,Product!$A$1:$A$49,0),MATCH(orders!L$1,Product!$A$1:$G$1,0))</f>
        <v>6.75</v>
      </c>
      <c r="M927" s="5">
        <f t="shared" si="14"/>
        <v>20.25</v>
      </c>
      <c r="N927" t="str" cm="1">
        <f t="array" ref="N927">_xlfn.IFS(I927="Rob", "Robusta", I927="Exc", "Excelsa", I927="Ara", "Arabica", I927="Lib", "Liberica", TRUE, "")</f>
        <v>Arabica</v>
      </c>
      <c r="O927" t="str" cm="1">
        <f t="array" ref="O927">_xlfn.IFS(J927="M", "Medium", J927="L", "Light", J927="D", "Dark", TRUE, "")</f>
        <v>Medium</v>
      </c>
      <c r="P927" t="str">
        <f>_xlfn.XLOOKUP(Table1[[#This Row],[Customer ID]], customers!$A$1:$A$1001, customers!$I$1:$I$1001,, 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INDEX(Product!$A$1:$G$49,MATCH(orders!$D928,Product!$A$1:$A$49,0),MATCH(orders!I$1,Product!$A$1:$G$1,0))</f>
        <v>Ara</v>
      </c>
      <c r="J928" t="str">
        <f>INDEX(Product!$A$1:$G$49,MATCH(orders!$D928,Product!$A$1:$A$49,0),MATCH(orders!J$1,Product!$A$1:$G$1,0))</f>
        <v>M</v>
      </c>
      <c r="K928" s="4">
        <f>INDEX(Product!$A$1:$G$49,MATCH(orders!$D928,Product!$A$1:$A$49,0),MATCH(orders!K$1,Product!$A$1:$G$1,0))</f>
        <v>0.5</v>
      </c>
      <c r="L928" s="5">
        <f>INDEX(Product!$A$1:$G$49,MATCH(orders!$D928,Product!$A$1:$A$49,0),MATCH(orders!L$1,Product!$A$1:$G$1,0))</f>
        <v>6.75</v>
      </c>
      <c r="M928" s="5">
        <f t="shared" si="14"/>
        <v>33.75</v>
      </c>
      <c r="N928" t="str" cm="1">
        <f t="array" ref="N928">_xlfn.IFS(I928="Rob", "Robusta", I928="Exc", "Excelsa", I928="Ara", "Arabica", I928="Lib", "Liberica", TRUE, "")</f>
        <v>Arabica</v>
      </c>
      <c r="O928" t="str" cm="1">
        <f t="array" ref="O928">_xlfn.IFS(J928="M", "Medium", J928="L", "Light", J928="D", "Dark", TRUE, "")</f>
        <v>Medium</v>
      </c>
      <c r="P928" t="str">
        <f>_xlfn.XLOOKUP(Table1[[#This Row],[Customer ID]], customers!$A$1:$A$1001, customers!$I$1:$I$1001,, 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INDEX(Product!$A$1:$G$49,MATCH(orders!$D929,Product!$A$1:$A$49,0),MATCH(orders!I$1,Product!$A$1:$G$1,0))</f>
        <v>Exc</v>
      </c>
      <c r="J929" t="str">
        <f>INDEX(Product!$A$1:$G$49,MATCH(orders!$D929,Product!$A$1:$A$49,0),MATCH(orders!J$1,Product!$A$1:$G$1,0))</f>
        <v>D</v>
      </c>
      <c r="K929" s="4">
        <f>INDEX(Product!$A$1:$G$49,MATCH(orders!$D929,Product!$A$1:$A$49,0),MATCH(orders!K$1,Product!$A$1:$G$1,0))</f>
        <v>2.5</v>
      </c>
      <c r="L929" s="5">
        <f>INDEX(Product!$A$1:$G$49,MATCH(orders!$D929,Product!$A$1:$A$49,0),MATCH(orders!L$1,Product!$A$1:$G$1,0))</f>
        <v>27.945</v>
      </c>
      <c r="M929" s="5">
        <f t="shared" si="14"/>
        <v>111.78</v>
      </c>
      <c r="N929" t="str" cm="1">
        <f t="array" ref="N929">_xlfn.IFS(I929="Rob", "Robusta", I929="Exc", "Excelsa", I929="Ara", "Arabica", I929="Lib", "Liberica", TRUE, "")</f>
        <v>Excelsa</v>
      </c>
      <c r="O929" t="str" cm="1">
        <f t="array" ref="O929">_xlfn.IFS(J929="M", "Medium", J929="L", "Light", J929="D", "Dark", TRUE, "")</f>
        <v>Dark</v>
      </c>
      <c r="P929" t="str">
        <f>_xlfn.XLOOKUP(Table1[[#This Row],[Customer ID]], customers!$A$1:$A$1001, customers!$I$1:$I$1001,, 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INDEX(Product!$A$1:$G$49,MATCH(orders!$D930,Product!$A$1:$A$49,0),MATCH(orders!I$1,Product!$A$1:$G$1,0))</f>
        <v>Exc</v>
      </c>
      <c r="J930" t="str">
        <f>INDEX(Product!$A$1:$G$49,MATCH(orders!$D930,Product!$A$1:$A$49,0),MATCH(orders!J$1,Product!$A$1:$G$1,0))</f>
        <v>M</v>
      </c>
      <c r="K930" s="4">
        <f>INDEX(Product!$A$1:$G$49,MATCH(orders!$D930,Product!$A$1:$A$49,0),MATCH(orders!K$1,Product!$A$1:$G$1,0))</f>
        <v>2.5</v>
      </c>
      <c r="L930" s="5">
        <f>INDEX(Product!$A$1:$G$49,MATCH(orders!$D930,Product!$A$1:$A$49,0),MATCH(orders!L$1,Product!$A$1:$G$1,0))</f>
        <v>31.624999999999996</v>
      </c>
      <c r="M930" s="5">
        <f t="shared" si="14"/>
        <v>63.249999999999993</v>
      </c>
      <c r="N930" t="str" cm="1">
        <f t="array" ref="N930">_xlfn.IFS(I930="Rob", "Robusta", I930="Exc", "Excelsa", I930="Ara", "Arabica", I930="Lib", "Liberica", TRUE, "")</f>
        <v>Excelsa</v>
      </c>
      <c r="O930" t="str" cm="1">
        <f t="array" ref="O930">_xlfn.IFS(J930="M", "Medium", J930="L", "Light", J930="D", "Dark", TRUE, "")</f>
        <v>Medium</v>
      </c>
      <c r="P930" t="str">
        <f>_xlfn.XLOOKUP(Table1[[#This Row],[Customer ID]], customers!$A$1:$A$1001, customers!$I$1:$I$1001,, 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INDEX(Product!$A$1:$G$49,MATCH(orders!$D931,Product!$A$1:$A$49,0),MATCH(orders!I$1,Product!$A$1:$G$1,0))</f>
        <v>Exc</v>
      </c>
      <c r="J931" t="str">
        <f>INDEX(Product!$A$1:$G$49,MATCH(orders!$D931,Product!$A$1:$A$49,0),MATCH(orders!J$1,Product!$A$1:$G$1,0))</f>
        <v>L</v>
      </c>
      <c r="K931" s="4">
        <f>INDEX(Product!$A$1:$G$49,MATCH(orders!$D931,Product!$A$1:$A$49,0),MATCH(orders!K$1,Product!$A$1:$G$1,0))</f>
        <v>0.2</v>
      </c>
      <c r="L931" s="5">
        <f>INDEX(Product!$A$1:$G$49,MATCH(orders!$D931,Product!$A$1:$A$49,0),MATCH(orders!L$1,Product!$A$1:$G$1,0))</f>
        <v>4.4550000000000001</v>
      </c>
      <c r="M931" s="5">
        <f t="shared" si="14"/>
        <v>8.91</v>
      </c>
      <c r="N931" t="str" cm="1">
        <f t="array" ref="N931">_xlfn.IFS(I931="Rob", "Robusta", I931="Exc", "Excelsa", I931="Ara", "Arabica", I931="Lib", "Liberica", TRUE, "")</f>
        <v>Excelsa</v>
      </c>
      <c r="O931" t="str" cm="1">
        <f t="array" ref="O931">_xlfn.IFS(J931="M", "Medium", J931="L", "Light", J931="D", "Dark", TRUE, "")</f>
        <v>Light</v>
      </c>
      <c r="P931" t="str">
        <f>_xlfn.XLOOKUP(Table1[[#This Row],[Customer ID]], customers!$A$1:$A$1001, customers!$I$1:$I$1001,, 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INDEX(Product!$A$1:$G$49,MATCH(orders!$D932,Product!$A$1:$A$49,0),MATCH(orders!I$1,Product!$A$1:$G$1,0))</f>
        <v>Exc</v>
      </c>
      <c r="J932" t="str">
        <f>INDEX(Product!$A$1:$G$49,MATCH(orders!$D932,Product!$A$1:$A$49,0),MATCH(orders!J$1,Product!$A$1:$G$1,0))</f>
        <v>D</v>
      </c>
      <c r="K932" s="4">
        <f>INDEX(Product!$A$1:$G$49,MATCH(orders!$D932,Product!$A$1:$A$49,0),MATCH(orders!K$1,Product!$A$1:$G$1,0))</f>
        <v>1</v>
      </c>
      <c r="L932" s="5">
        <f>INDEX(Product!$A$1:$G$49,MATCH(orders!$D932,Product!$A$1:$A$49,0),MATCH(orders!L$1,Product!$A$1:$G$1,0))</f>
        <v>12.15</v>
      </c>
      <c r="M932" s="5">
        <f t="shared" si="14"/>
        <v>12.15</v>
      </c>
      <c r="N932" t="str" cm="1">
        <f t="array" ref="N932">_xlfn.IFS(I932="Rob", "Robusta", I932="Exc", "Excelsa", I932="Ara", "Arabica", I932="Lib", "Liberica", TRUE, "")</f>
        <v>Excelsa</v>
      </c>
      <c r="O932" t="str" cm="1">
        <f t="array" ref="O932">_xlfn.IFS(J932="M", "Medium", J932="L", "Light", J932="D", "Dark", TRUE, "")</f>
        <v>Dark</v>
      </c>
      <c r="P932" t="str">
        <f>_xlfn.XLOOKUP(Table1[[#This Row],[Customer ID]], customers!$A$1:$A$1001, customers!$I$1:$I$1001,, 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INDEX(Product!$A$1:$G$49,MATCH(orders!$D933,Product!$A$1:$A$49,0),MATCH(orders!I$1,Product!$A$1:$G$1,0))</f>
        <v>Ara</v>
      </c>
      <c r="J933" t="str">
        <f>INDEX(Product!$A$1:$G$49,MATCH(orders!$D933,Product!$A$1:$A$49,0),MATCH(orders!J$1,Product!$A$1:$G$1,0))</f>
        <v>D</v>
      </c>
      <c r="K933" s="4">
        <f>INDEX(Product!$A$1:$G$49,MATCH(orders!$D933,Product!$A$1:$A$49,0),MATCH(orders!K$1,Product!$A$1:$G$1,0))</f>
        <v>0.5</v>
      </c>
      <c r="L933" s="5">
        <f>INDEX(Product!$A$1:$G$49,MATCH(orders!$D933,Product!$A$1:$A$49,0),MATCH(orders!L$1,Product!$A$1:$G$1,0))</f>
        <v>5.97</v>
      </c>
      <c r="M933" s="5">
        <f t="shared" si="14"/>
        <v>23.88</v>
      </c>
      <c r="N933" t="str" cm="1">
        <f t="array" ref="N933">_xlfn.IFS(I933="Rob", "Robusta", I933="Exc", "Excelsa", I933="Ara", "Arabica", I933="Lib", "Liberica", TRUE, "")</f>
        <v>Arabica</v>
      </c>
      <c r="O933" t="str" cm="1">
        <f t="array" ref="O933">_xlfn.IFS(J933="M", "Medium", J933="L", "Light", J933="D", "Dark", TRUE, "")</f>
        <v>Dark</v>
      </c>
      <c r="P933" t="str">
        <f>_xlfn.XLOOKUP(Table1[[#This Row],[Customer ID]], customers!$A$1:$A$1001, customers!$I$1:$I$1001,, 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INDEX(Product!$A$1:$G$49,MATCH(orders!$D934,Product!$A$1:$A$49,0),MATCH(orders!I$1,Product!$A$1:$G$1,0))</f>
        <v>Exc</v>
      </c>
      <c r="J934" t="str">
        <f>INDEX(Product!$A$1:$G$49,MATCH(orders!$D934,Product!$A$1:$A$49,0),MATCH(orders!J$1,Product!$A$1:$G$1,0))</f>
        <v>M</v>
      </c>
      <c r="K934" s="4">
        <f>INDEX(Product!$A$1:$G$49,MATCH(orders!$D934,Product!$A$1:$A$49,0),MATCH(orders!K$1,Product!$A$1:$G$1,0))</f>
        <v>1</v>
      </c>
      <c r="L934" s="5">
        <f>INDEX(Product!$A$1:$G$49,MATCH(orders!$D934,Product!$A$1:$A$49,0),MATCH(orders!L$1,Product!$A$1:$G$1,0))</f>
        <v>13.75</v>
      </c>
      <c r="M934" s="5">
        <f t="shared" si="14"/>
        <v>55</v>
      </c>
      <c r="N934" t="str" cm="1">
        <f t="array" ref="N934">_xlfn.IFS(I934="Rob", "Robusta", I934="Exc", "Excelsa", I934="Ara", "Arabica", I934="Lib", "Liberica", TRUE, "")</f>
        <v>Excelsa</v>
      </c>
      <c r="O934" t="str" cm="1">
        <f t="array" ref="O934">_xlfn.IFS(J934="M", "Medium", J934="L", "Light", J934="D", "Dark", TRUE, "")</f>
        <v>Medium</v>
      </c>
      <c r="P934" t="str">
        <f>_xlfn.XLOOKUP(Table1[[#This Row],[Customer ID]], customers!$A$1:$A$1001, customers!$I$1:$I$1001,, 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INDEX(Product!$A$1:$G$49,MATCH(orders!$D935,Product!$A$1:$A$49,0),MATCH(orders!I$1,Product!$A$1:$G$1,0))</f>
        <v>Rob</v>
      </c>
      <c r="J935" t="str">
        <f>INDEX(Product!$A$1:$G$49,MATCH(orders!$D935,Product!$A$1:$A$49,0),MATCH(orders!J$1,Product!$A$1:$G$1,0))</f>
        <v>D</v>
      </c>
      <c r="K935" s="4">
        <f>INDEX(Product!$A$1:$G$49,MATCH(orders!$D935,Product!$A$1:$A$49,0),MATCH(orders!K$1,Product!$A$1:$G$1,0))</f>
        <v>1</v>
      </c>
      <c r="L935" s="5">
        <f>INDEX(Product!$A$1:$G$49,MATCH(orders!$D935,Product!$A$1:$A$49,0),MATCH(orders!L$1,Product!$A$1:$G$1,0))</f>
        <v>8.9499999999999993</v>
      </c>
      <c r="M935" s="5">
        <f t="shared" si="14"/>
        <v>26.849999999999998</v>
      </c>
      <c r="N935" t="str" cm="1">
        <f t="array" ref="N935">_xlfn.IFS(I935="Rob", "Robusta", I935="Exc", "Excelsa", I935="Ara", "Arabica", I935="Lib", "Liberica", TRUE, "")</f>
        <v>Robusta</v>
      </c>
      <c r="O935" t="str" cm="1">
        <f t="array" ref="O935">_xlfn.IFS(J935="M", "Medium", J935="L", "Light", J935="D", "Dark", TRUE, "")</f>
        <v>Dark</v>
      </c>
      <c r="P935" t="str">
        <f>_xlfn.XLOOKUP(Table1[[#This Row],[Customer ID]], customers!$A$1:$A$1001, customers!$I$1:$I$1001,, 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INDEX(Product!$A$1:$G$49,MATCH(orders!$D936,Product!$A$1:$A$49,0),MATCH(orders!I$1,Product!$A$1:$G$1,0))</f>
        <v>Rob</v>
      </c>
      <c r="J936" t="str">
        <f>INDEX(Product!$A$1:$G$49,MATCH(orders!$D936,Product!$A$1:$A$49,0),MATCH(orders!J$1,Product!$A$1:$G$1,0))</f>
        <v>M</v>
      </c>
      <c r="K936" s="4">
        <f>INDEX(Product!$A$1:$G$49,MATCH(orders!$D936,Product!$A$1:$A$49,0),MATCH(orders!K$1,Product!$A$1:$G$1,0))</f>
        <v>2.5</v>
      </c>
      <c r="L936" s="5">
        <f>INDEX(Product!$A$1:$G$49,MATCH(orders!$D936,Product!$A$1:$A$49,0),MATCH(orders!L$1,Product!$A$1:$G$1,0))</f>
        <v>22.884999999999998</v>
      </c>
      <c r="M936" s="5">
        <f t="shared" si="14"/>
        <v>114.42499999999998</v>
      </c>
      <c r="N936" t="str" cm="1">
        <f t="array" ref="N936">_xlfn.IFS(I936="Rob", "Robusta", I936="Exc", "Excelsa", I936="Ara", "Arabica", I936="Lib", "Liberica", TRUE, "")</f>
        <v>Robusta</v>
      </c>
      <c r="O936" t="str" cm="1">
        <f t="array" ref="O936">_xlfn.IFS(J936="M", "Medium", J936="L", "Light", J936="D", "Dark", TRUE, "")</f>
        <v>Medium</v>
      </c>
      <c r="P936" t="str">
        <f>_xlfn.XLOOKUP(Table1[[#This Row],[Customer ID]], customers!$A$1:$A$1001, customers!$I$1:$I$1001,, 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INDEX(Product!$A$1:$G$49,MATCH(orders!$D937,Product!$A$1:$A$49,0),MATCH(orders!I$1,Product!$A$1:$G$1,0))</f>
        <v>Ara</v>
      </c>
      <c r="J937" t="str">
        <f>INDEX(Product!$A$1:$G$49,MATCH(orders!$D937,Product!$A$1:$A$49,0),MATCH(orders!J$1,Product!$A$1:$G$1,0))</f>
        <v>M</v>
      </c>
      <c r="K937" s="4">
        <f>INDEX(Product!$A$1:$G$49,MATCH(orders!$D937,Product!$A$1:$A$49,0),MATCH(orders!K$1,Product!$A$1:$G$1,0))</f>
        <v>2.5</v>
      </c>
      <c r="L937" s="5">
        <f>INDEX(Product!$A$1:$G$49,MATCH(orders!$D937,Product!$A$1:$A$49,0),MATCH(orders!L$1,Product!$A$1:$G$1,0))</f>
        <v>25.874999999999996</v>
      </c>
      <c r="M937" s="5">
        <f t="shared" si="14"/>
        <v>155.24999999999997</v>
      </c>
      <c r="N937" t="str" cm="1">
        <f t="array" ref="N937">_xlfn.IFS(I937="Rob", "Robusta", I937="Exc", "Excelsa", I937="Ara", "Arabica", I937="Lib", "Liberica", TRUE, "")</f>
        <v>Arabica</v>
      </c>
      <c r="O937" t="str" cm="1">
        <f t="array" ref="O937">_xlfn.IFS(J937="M", "Medium", J937="L", "Light", J937="D", "Dark", TRUE, "")</f>
        <v>Medium</v>
      </c>
      <c r="P937" t="str">
        <f>_xlfn.XLOOKUP(Table1[[#This Row],[Customer ID]], customers!$A$1:$A$1001, customers!$I$1:$I$1001,, 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INDEX(Product!$A$1:$G$49,MATCH(orders!$D938,Product!$A$1:$A$49,0),MATCH(orders!I$1,Product!$A$1:$G$1,0))</f>
        <v>Lib</v>
      </c>
      <c r="J938" t="str">
        <f>INDEX(Product!$A$1:$G$49,MATCH(orders!$D938,Product!$A$1:$A$49,0),MATCH(orders!J$1,Product!$A$1:$G$1,0))</f>
        <v>D</v>
      </c>
      <c r="K938" s="4">
        <f>INDEX(Product!$A$1:$G$49,MATCH(orders!$D938,Product!$A$1:$A$49,0),MATCH(orders!K$1,Product!$A$1:$G$1,0))</f>
        <v>0.5</v>
      </c>
      <c r="L938" s="5">
        <f>INDEX(Product!$A$1:$G$49,MATCH(orders!$D938,Product!$A$1:$A$49,0),MATCH(orders!L$1,Product!$A$1:$G$1,0))</f>
        <v>7.77</v>
      </c>
      <c r="M938" s="5">
        <f t="shared" si="14"/>
        <v>23.31</v>
      </c>
      <c r="N938" t="str" cm="1">
        <f t="array" ref="N938">_xlfn.IFS(I938="Rob", "Robusta", I938="Exc", "Excelsa", I938="Ara", "Arabica", I938="Lib", "Liberica", TRUE, "")</f>
        <v>Liberica</v>
      </c>
      <c r="O938" t="str" cm="1">
        <f t="array" ref="O938">_xlfn.IFS(J938="M", "Medium", J938="L", "Light", J938="D", "Dark", TRUE, "")</f>
        <v>Dark</v>
      </c>
      <c r="P938" t="str">
        <f>_xlfn.XLOOKUP(Table1[[#This Row],[Customer ID]], customers!$A$1:$A$1001, customers!$I$1:$I$1001,, 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INDEX(Product!$A$1:$G$49,MATCH(orders!$D939,Product!$A$1:$A$49,0),MATCH(orders!I$1,Product!$A$1:$G$1,0))</f>
        <v>Rob</v>
      </c>
      <c r="J939" t="str">
        <f>INDEX(Product!$A$1:$G$49,MATCH(orders!$D939,Product!$A$1:$A$49,0),MATCH(orders!J$1,Product!$A$1:$G$1,0))</f>
        <v>M</v>
      </c>
      <c r="K939" s="4">
        <f>INDEX(Product!$A$1:$G$49,MATCH(orders!$D939,Product!$A$1:$A$49,0),MATCH(orders!K$1,Product!$A$1:$G$1,0))</f>
        <v>2.5</v>
      </c>
      <c r="L939" s="5">
        <f>INDEX(Product!$A$1:$G$49,MATCH(orders!$D939,Product!$A$1:$A$49,0),MATCH(orders!L$1,Product!$A$1:$G$1,0))</f>
        <v>22.884999999999998</v>
      </c>
      <c r="M939" s="5">
        <f t="shared" si="14"/>
        <v>91.539999999999992</v>
      </c>
      <c r="N939" t="str" cm="1">
        <f t="array" ref="N939">_xlfn.IFS(I939="Rob", "Robusta", I939="Exc", "Excelsa", I939="Ara", "Arabica", I939="Lib", "Liberica", TRUE, "")</f>
        <v>Robusta</v>
      </c>
      <c r="O939" t="str" cm="1">
        <f t="array" ref="O939">_xlfn.IFS(J939="M", "Medium", J939="L", "Light", J939="D", "Dark", TRUE, "")</f>
        <v>Medium</v>
      </c>
      <c r="P939" t="str">
        <f>_xlfn.XLOOKUP(Table1[[#This Row],[Customer ID]], customers!$A$1:$A$1001, customers!$I$1:$I$1001,, 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INDEX(Product!$A$1:$G$49,MATCH(orders!$D940,Product!$A$1:$A$49,0),MATCH(orders!I$1,Product!$A$1:$G$1,0))</f>
        <v>Exc</v>
      </c>
      <c r="J940" t="str">
        <f>INDEX(Product!$A$1:$G$49,MATCH(orders!$D940,Product!$A$1:$A$49,0),MATCH(orders!J$1,Product!$A$1:$G$1,0))</f>
        <v>L</v>
      </c>
      <c r="K940" s="4">
        <f>INDEX(Product!$A$1:$G$49,MATCH(orders!$D940,Product!$A$1:$A$49,0),MATCH(orders!K$1,Product!$A$1:$G$1,0))</f>
        <v>1</v>
      </c>
      <c r="L940" s="5">
        <f>INDEX(Product!$A$1:$G$49,MATCH(orders!$D940,Product!$A$1:$A$49,0),MATCH(orders!L$1,Product!$A$1:$G$1,0))</f>
        <v>14.85</v>
      </c>
      <c r="M940" s="5">
        <f t="shared" si="14"/>
        <v>74.25</v>
      </c>
      <c r="N940" t="str" cm="1">
        <f t="array" ref="N940">_xlfn.IFS(I940="Rob", "Robusta", I940="Exc", "Excelsa", I940="Ara", "Arabica", I940="Lib", "Liberica", TRUE, "")</f>
        <v>Excelsa</v>
      </c>
      <c r="O940" t="str" cm="1">
        <f t="array" ref="O940">_xlfn.IFS(J940="M", "Medium", J940="L", "Light", J940="D", "Dark", TRUE, "")</f>
        <v>Light</v>
      </c>
      <c r="P940" t="str">
        <f>_xlfn.XLOOKUP(Table1[[#This Row],[Customer ID]], customers!$A$1:$A$1001, customers!$I$1:$I$1001,, 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INDEX(Product!$A$1:$G$49,MATCH(orders!$D941,Product!$A$1:$A$49,0),MATCH(orders!I$1,Product!$A$1:$G$1,0))</f>
        <v>Lib</v>
      </c>
      <c r="J941" t="str">
        <f>INDEX(Product!$A$1:$G$49,MATCH(orders!$D941,Product!$A$1:$A$49,0),MATCH(orders!J$1,Product!$A$1:$G$1,0))</f>
        <v>L</v>
      </c>
      <c r="K941" s="4">
        <f>INDEX(Product!$A$1:$G$49,MATCH(orders!$D941,Product!$A$1:$A$49,0),MATCH(orders!K$1,Product!$A$1:$G$1,0))</f>
        <v>0.2</v>
      </c>
      <c r="L941" s="5">
        <f>INDEX(Product!$A$1:$G$49,MATCH(orders!$D941,Product!$A$1:$A$49,0),MATCH(orders!L$1,Product!$A$1:$G$1,0))</f>
        <v>4.7549999999999999</v>
      </c>
      <c r="M941" s="5">
        <f t="shared" si="14"/>
        <v>28.53</v>
      </c>
      <c r="N941" t="str" cm="1">
        <f t="array" ref="N941">_xlfn.IFS(I941="Rob", "Robusta", I941="Exc", "Excelsa", I941="Ara", "Arabica", I941="Lib", "Liberica", TRUE, "")</f>
        <v>Liberica</v>
      </c>
      <c r="O941" t="str" cm="1">
        <f t="array" ref="O941">_xlfn.IFS(J941="M", "Medium", J941="L", "Light", J941="D", "Dark", TRUE, "")</f>
        <v>Light</v>
      </c>
      <c r="P941" t="str">
        <f>_xlfn.XLOOKUP(Table1[[#This Row],[Customer ID]], customers!$A$1:$A$1001, customers!$I$1:$I$1001,, 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INDEX(Product!$A$1:$G$49,MATCH(orders!$D942,Product!$A$1:$A$49,0),MATCH(orders!I$1,Product!$A$1:$G$1,0))</f>
        <v>Rob</v>
      </c>
      <c r="J942" t="str">
        <f>INDEX(Product!$A$1:$G$49,MATCH(orders!$D942,Product!$A$1:$A$49,0),MATCH(orders!J$1,Product!$A$1:$G$1,0))</f>
        <v>L</v>
      </c>
      <c r="K942" s="4">
        <f>INDEX(Product!$A$1:$G$49,MATCH(orders!$D942,Product!$A$1:$A$49,0),MATCH(orders!K$1,Product!$A$1:$G$1,0))</f>
        <v>0.5</v>
      </c>
      <c r="L942" s="5">
        <f>INDEX(Product!$A$1:$G$49,MATCH(orders!$D942,Product!$A$1:$A$49,0),MATCH(orders!L$1,Product!$A$1:$G$1,0))</f>
        <v>7.169999999999999</v>
      </c>
      <c r="M942" s="5">
        <f t="shared" si="14"/>
        <v>14.339999999999998</v>
      </c>
      <c r="N942" t="str" cm="1">
        <f t="array" ref="N942">_xlfn.IFS(I942="Rob", "Robusta", I942="Exc", "Excelsa", I942="Ara", "Arabica", I942="Lib", "Liberica", TRUE, "")</f>
        <v>Robusta</v>
      </c>
      <c r="O942" t="str" cm="1">
        <f t="array" ref="O942">_xlfn.IFS(J942="M", "Medium", J942="L", "Light", J942="D", "Dark", TRUE, "")</f>
        <v>Light</v>
      </c>
      <c r="P942" t="str">
        <f>_xlfn.XLOOKUP(Table1[[#This Row],[Customer ID]], customers!$A$1:$A$1001, customers!$I$1:$I$1001,, 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INDEX(Product!$A$1:$G$49,MATCH(orders!$D943,Product!$A$1:$A$49,0),MATCH(orders!I$1,Product!$A$1:$G$1,0))</f>
        <v>Ara</v>
      </c>
      <c r="J943" t="str">
        <f>INDEX(Product!$A$1:$G$49,MATCH(orders!$D943,Product!$A$1:$A$49,0),MATCH(orders!J$1,Product!$A$1:$G$1,0))</f>
        <v>L</v>
      </c>
      <c r="K943" s="4">
        <f>INDEX(Product!$A$1:$G$49,MATCH(orders!$D943,Product!$A$1:$A$49,0),MATCH(orders!K$1,Product!$A$1:$G$1,0))</f>
        <v>0.5</v>
      </c>
      <c r="L943" s="5">
        <f>INDEX(Product!$A$1:$G$49,MATCH(orders!$D943,Product!$A$1:$A$49,0),MATCH(orders!L$1,Product!$A$1:$G$1,0))</f>
        <v>7.77</v>
      </c>
      <c r="M943" s="5">
        <f t="shared" si="14"/>
        <v>15.54</v>
      </c>
      <c r="N943" t="str" cm="1">
        <f t="array" ref="N943">_xlfn.IFS(I943="Rob", "Robusta", I943="Exc", "Excelsa", I943="Ara", "Arabica", I943="Lib", "Liberica", TRUE, "")</f>
        <v>Arabica</v>
      </c>
      <c r="O943" t="str" cm="1">
        <f t="array" ref="O943">_xlfn.IFS(J943="M", "Medium", J943="L", "Light", J943="D", "Dark", TRUE, "")</f>
        <v>Light</v>
      </c>
      <c r="P943" t="str">
        <f>_xlfn.XLOOKUP(Table1[[#This Row],[Customer ID]], customers!$A$1:$A$1001, customers!$I$1:$I$1001,, 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INDEX(Product!$A$1:$G$49,MATCH(orders!$D944,Product!$A$1:$A$49,0),MATCH(orders!I$1,Product!$A$1:$G$1,0))</f>
        <v>Rob</v>
      </c>
      <c r="J944" t="str">
        <f>INDEX(Product!$A$1:$G$49,MATCH(orders!$D944,Product!$A$1:$A$49,0),MATCH(orders!J$1,Product!$A$1:$G$1,0))</f>
        <v>L</v>
      </c>
      <c r="K944" s="4">
        <f>INDEX(Product!$A$1:$G$49,MATCH(orders!$D944,Product!$A$1:$A$49,0),MATCH(orders!K$1,Product!$A$1:$G$1,0))</f>
        <v>1</v>
      </c>
      <c r="L944" s="5">
        <f>INDEX(Product!$A$1:$G$49,MATCH(orders!$D944,Product!$A$1:$A$49,0),MATCH(orders!L$1,Product!$A$1:$G$1,0))</f>
        <v>11.95</v>
      </c>
      <c r="M944" s="5">
        <f t="shared" si="14"/>
        <v>35.849999999999994</v>
      </c>
      <c r="N944" t="str" cm="1">
        <f t="array" ref="N944">_xlfn.IFS(I944="Rob", "Robusta", I944="Exc", "Excelsa", I944="Ara", "Arabica", I944="Lib", "Liberica", TRUE, "")</f>
        <v>Robusta</v>
      </c>
      <c r="O944" t="str" cm="1">
        <f t="array" ref="O944">_xlfn.IFS(J944="M", "Medium", J944="L", "Light", J944="D", "Dark", TRUE, "")</f>
        <v>Light</v>
      </c>
      <c r="P944" t="str">
        <f>_xlfn.XLOOKUP(Table1[[#This Row],[Customer ID]], customers!$A$1:$A$1001, customers!$I$1:$I$1001,, 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INDEX(Product!$A$1:$G$49,MATCH(orders!$D945,Product!$A$1:$A$49,0),MATCH(orders!I$1,Product!$A$1:$G$1,0))</f>
        <v>Ara</v>
      </c>
      <c r="J945" t="str">
        <f>INDEX(Product!$A$1:$G$49,MATCH(orders!$D945,Product!$A$1:$A$49,0),MATCH(orders!J$1,Product!$A$1:$G$1,0))</f>
        <v>L</v>
      </c>
      <c r="K945" s="4">
        <f>INDEX(Product!$A$1:$G$49,MATCH(orders!$D945,Product!$A$1:$A$49,0),MATCH(orders!K$1,Product!$A$1:$G$1,0))</f>
        <v>0.5</v>
      </c>
      <c r="L945" s="5">
        <f>INDEX(Product!$A$1:$G$49,MATCH(orders!$D945,Product!$A$1:$A$49,0),MATCH(orders!L$1,Product!$A$1:$G$1,0))</f>
        <v>7.77</v>
      </c>
      <c r="M945" s="5">
        <f t="shared" si="14"/>
        <v>46.62</v>
      </c>
      <c r="N945" t="str" cm="1">
        <f t="array" ref="N945">_xlfn.IFS(I945="Rob", "Robusta", I945="Exc", "Excelsa", I945="Ara", "Arabica", I945="Lib", "Liberica", TRUE, "")</f>
        <v>Arabica</v>
      </c>
      <c r="O945" t="str" cm="1">
        <f t="array" ref="O945">_xlfn.IFS(J945="M", "Medium", J945="L", "Light", J945="D", "Dark", TRUE, "")</f>
        <v>Light</v>
      </c>
      <c r="P945" t="str">
        <f>_xlfn.XLOOKUP(Table1[[#This Row],[Customer ID]], customers!$A$1:$A$1001, customers!$I$1:$I$1001,, 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INDEX(Product!$A$1:$G$49,MATCH(orders!$D946,Product!$A$1:$A$49,0),MATCH(orders!I$1,Product!$A$1:$G$1,0))</f>
        <v>Rob</v>
      </c>
      <c r="J946" t="str">
        <f>INDEX(Product!$A$1:$G$49,MATCH(orders!$D946,Product!$A$1:$A$49,0),MATCH(orders!J$1,Product!$A$1:$G$1,0))</f>
        <v>L</v>
      </c>
      <c r="K946" s="4">
        <f>INDEX(Product!$A$1:$G$49,MATCH(orders!$D946,Product!$A$1:$A$49,0),MATCH(orders!K$1,Product!$A$1:$G$1,0))</f>
        <v>0.5</v>
      </c>
      <c r="L946" s="5">
        <f>INDEX(Product!$A$1:$G$49,MATCH(orders!$D946,Product!$A$1:$A$49,0),MATCH(orders!L$1,Product!$A$1:$G$1,0))</f>
        <v>7.169999999999999</v>
      </c>
      <c r="M946" s="5">
        <f t="shared" si="14"/>
        <v>35.849999999999994</v>
      </c>
      <c r="N946" t="str" cm="1">
        <f t="array" ref="N946">_xlfn.IFS(I946="Rob", "Robusta", I946="Exc", "Excelsa", I946="Ara", "Arabica", I946="Lib", "Liberica", TRUE, "")</f>
        <v>Robusta</v>
      </c>
      <c r="O946" t="str" cm="1">
        <f t="array" ref="O946">_xlfn.IFS(J946="M", "Medium", J946="L", "Light", J946="D", "Dark", TRUE, "")</f>
        <v>Light</v>
      </c>
      <c r="P946" t="str">
        <f>_xlfn.XLOOKUP(Table1[[#This Row],[Customer ID]], customers!$A$1:$A$1001, customers!$I$1:$I$1001,, 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INDEX(Product!$A$1:$G$49,MATCH(orders!$D947,Product!$A$1:$A$49,0),MATCH(orders!I$1,Product!$A$1:$G$1,0))</f>
        <v>Lib</v>
      </c>
      <c r="J947" t="str">
        <f>INDEX(Product!$A$1:$G$49,MATCH(orders!$D947,Product!$A$1:$A$49,0),MATCH(orders!J$1,Product!$A$1:$G$1,0))</f>
        <v>D</v>
      </c>
      <c r="K947" s="4">
        <f>INDEX(Product!$A$1:$G$49,MATCH(orders!$D947,Product!$A$1:$A$49,0),MATCH(orders!K$1,Product!$A$1:$G$1,0))</f>
        <v>2.5</v>
      </c>
      <c r="L947" s="5">
        <f>INDEX(Product!$A$1:$G$49,MATCH(orders!$D947,Product!$A$1:$A$49,0),MATCH(orders!L$1,Product!$A$1:$G$1,0))</f>
        <v>29.784999999999997</v>
      </c>
      <c r="M947" s="5">
        <f t="shared" si="14"/>
        <v>119.13999999999999</v>
      </c>
      <c r="N947" t="str" cm="1">
        <f t="array" ref="N947">_xlfn.IFS(I947="Rob", "Robusta", I947="Exc", "Excelsa", I947="Ara", "Arabica", I947="Lib", "Liberica", TRUE, "")</f>
        <v>Liberica</v>
      </c>
      <c r="O947" t="str" cm="1">
        <f t="array" ref="O947">_xlfn.IFS(J947="M", "Medium", J947="L", "Light", J947="D", "Dark", TRUE, "")</f>
        <v>Dark</v>
      </c>
      <c r="P947" t="str">
        <f>_xlfn.XLOOKUP(Table1[[#This Row],[Customer ID]], customers!$A$1:$A$1001, customers!$I$1:$I$1001,, 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INDEX(Product!$A$1:$G$49,MATCH(orders!$D948,Product!$A$1:$A$49,0),MATCH(orders!I$1,Product!$A$1:$G$1,0))</f>
        <v>Lib</v>
      </c>
      <c r="J948" t="str">
        <f>INDEX(Product!$A$1:$G$49,MATCH(orders!$D948,Product!$A$1:$A$49,0),MATCH(orders!J$1,Product!$A$1:$G$1,0))</f>
        <v>D</v>
      </c>
      <c r="K948" s="4">
        <f>INDEX(Product!$A$1:$G$49,MATCH(orders!$D948,Product!$A$1:$A$49,0),MATCH(orders!K$1,Product!$A$1:$G$1,0))</f>
        <v>0.5</v>
      </c>
      <c r="L948" s="5">
        <f>INDEX(Product!$A$1:$G$49,MATCH(orders!$D948,Product!$A$1:$A$49,0),MATCH(orders!L$1,Product!$A$1:$G$1,0))</f>
        <v>7.77</v>
      </c>
      <c r="M948" s="5">
        <f t="shared" si="14"/>
        <v>23.31</v>
      </c>
      <c r="N948" t="str" cm="1">
        <f t="array" ref="N948">_xlfn.IFS(I948="Rob", "Robusta", I948="Exc", "Excelsa", I948="Ara", "Arabica", I948="Lib", "Liberica", TRUE, "")</f>
        <v>Liberica</v>
      </c>
      <c r="O948" t="str" cm="1">
        <f t="array" ref="O948">_xlfn.IFS(J948="M", "Medium", J948="L", "Light", J948="D", "Dark", TRUE, "")</f>
        <v>Dark</v>
      </c>
      <c r="P948" t="str">
        <f>_xlfn.XLOOKUP(Table1[[#This Row],[Customer ID]], customers!$A$1:$A$1001, customers!$I$1:$I$1001,, 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INDEX(Product!$A$1:$G$49,MATCH(orders!$D949,Product!$A$1:$A$49,0),MATCH(orders!I$1,Product!$A$1:$G$1,0))</f>
        <v>Ara</v>
      </c>
      <c r="J949" t="str">
        <f>INDEX(Product!$A$1:$G$49,MATCH(orders!$D949,Product!$A$1:$A$49,0),MATCH(orders!J$1,Product!$A$1:$G$1,0))</f>
        <v>M</v>
      </c>
      <c r="K949" s="4">
        <f>INDEX(Product!$A$1:$G$49,MATCH(orders!$D949,Product!$A$1:$A$49,0),MATCH(orders!K$1,Product!$A$1:$G$1,0))</f>
        <v>1</v>
      </c>
      <c r="L949" s="5">
        <f>INDEX(Product!$A$1:$G$49,MATCH(orders!$D949,Product!$A$1:$A$49,0),MATCH(orders!L$1,Product!$A$1:$G$1,0))</f>
        <v>11.25</v>
      </c>
      <c r="M949" s="5">
        <f t="shared" si="14"/>
        <v>11.25</v>
      </c>
      <c r="N949" t="str" cm="1">
        <f t="array" ref="N949">_xlfn.IFS(I949="Rob", "Robusta", I949="Exc", "Excelsa", I949="Ara", "Arabica", I949="Lib", "Liberica", TRUE, "")</f>
        <v>Arabica</v>
      </c>
      <c r="O949" t="str" cm="1">
        <f t="array" ref="O949">_xlfn.IFS(J949="M", "Medium", J949="L", "Light", J949="D", "Dark", TRUE, "")</f>
        <v>Medium</v>
      </c>
      <c r="P949" t="str">
        <f>_xlfn.XLOOKUP(Table1[[#This Row],[Customer ID]], customers!$A$1:$A$1001, customers!$I$1:$I$1001,, 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INDEX(Product!$A$1:$G$49,MATCH(orders!$D950,Product!$A$1:$A$49,0),MATCH(orders!I$1,Product!$A$1:$G$1,0))</f>
        <v>Exc</v>
      </c>
      <c r="J950" t="str">
        <f>INDEX(Product!$A$1:$G$49,MATCH(orders!$D950,Product!$A$1:$A$49,0),MATCH(orders!J$1,Product!$A$1:$G$1,0))</f>
        <v>D</v>
      </c>
      <c r="K950" s="4">
        <f>INDEX(Product!$A$1:$G$49,MATCH(orders!$D950,Product!$A$1:$A$49,0),MATCH(orders!K$1,Product!$A$1:$G$1,0))</f>
        <v>2.5</v>
      </c>
      <c r="L950" s="5">
        <f>INDEX(Product!$A$1:$G$49,MATCH(orders!$D950,Product!$A$1:$A$49,0),MATCH(orders!L$1,Product!$A$1:$G$1,0))</f>
        <v>27.945</v>
      </c>
      <c r="M950" s="5">
        <f t="shared" si="14"/>
        <v>83.835000000000008</v>
      </c>
      <c r="N950" t="str" cm="1">
        <f t="array" ref="N950">_xlfn.IFS(I950="Rob", "Robusta", I950="Exc", "Excelsa", I950="Ara", "Arabica", I950="Lib", "Liberica", TRUE, "")</f>
        <v>Excelsa</v>
      </c>
      <c r="O950" t="str" cm="1">
        <f t="array" ref="O950">_xlfn.IFS(J950="M", "Medium", J950="L", "Light", J950="D", "Dark", TRUE, "")</f>
        <v>Dark</v>
      </c>
      <c r="P950" t="str">
        <f>_xlfn.XLOOKUP(Table1[[#This Row],[Customer ID]], customers!$A$1:$A$1001, customers!$I$1:$I$1001,, 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INDEX(Product!$A$1:$G$49,MATCH(orders!$D951,Product!$A$1:$A$49,0),MATCH(orders!I$1,Product!$A$1:$G$1,0))</f>
        <v>Rob</v>
      </c>
      <c r="J951" t="str">
        <f>INDEX(Product!$A$1:$G$49,MATCH(orders!$D951,Product!$A$1:$A$49,0),MATCH(orders!J$1,Product!$A$1:$G$1,0))</f>
        <v>L</v>
      </c>
      <c r="K951" s="4">
        <f>INDEX(Product!$A$1:$G$49,MATCH(orders!$D951,Product!$A$1:$A$49,0),MATCH(orders!K$1,Product!$A$1:$G$1,0))</f>
        <v>2.5</v>
      </c>
      <c r="L951" s="5">
        <f>INDEX(Product!$A$1:$G$49,MATCH(orders!$D951,Product!$A$1:$A$49,0),MATCH(orders!L$1,Product!$A$1:$G$1,0))</f>
        <v>27.484999999999996</v>
      </c>
      <c r="M951" s="5">
        <f t="shared" si="14"/>
        <v>109.93999999999998</v>
      </c>
      <c r="N951" t="str" cm="1">
        <f t="array" ref="N951">_xlfn.IFS(I951="Rob", "Robusta", I951="Exc", "Excelsa", I951="Ara", "Arabica", I951="Lib", "Liberica", TRUE, "")</f>
        <v>Robusta</v>
      </c>
      <c r="O951" t="str" cm="1">
        <f t="array" ref="O951">_xlfn.IFS(J951="M", "Medium", J951="L", "Light", J951="D", "Dark", TRUE, "")</f>
        <v>Light</v>
      </c>
      <c r="P951" t="str">
        <f>_xlfn.XLOOKUP(Table1[[#This Row],[Customer ID]], customers!$A$1:$A$1001, customers!$I$1:$I$1001,, 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INDEX(Product!$A$1:$G$49,MATCH(orders!$D952,Product!$A$1:$A$49,0),MATCH(orders!I$1,Product!$A$1:$G$1,0))</f>
        <v>Rob</v>
      </c>
      <c r="J952" t="str">
        <f>INDEX(Product!$A$1:$G$49,MATCH(orders!$D952,Product!$A$1:$A$49,0),MATCH(orders!J$1,Product!$A$1:$G$1,0))</f>
        <v>L</v>
      </c>
      <c r="K952" s="4">
        <f>INDEX(Product!$A$1:$G$49,MATCH(orders!$D952,Product!$A$1:$A$49,0),MATCH(orders!K$1,Product!$A$1:$G$1,0))</f>
        <v>0.2</v>
      </c>
      <c r="L952" s="5">
        <f>INDEX(Product!$A$1:$G$49,MATCH(orders!$D952,Product!$A$1:$A$49,0),MATCH(orders!L$1,Product!$A$1:$G$1,0))</f>
        <v>3.5849999999999995</v>
      </c>
      <c r="M952" s="5">
        <f t="shared" si="14"/>
        <v>14.339999999999998</v>
      </c>
      <c r="N952" t="str" cm="1">
        <f t="array" ref="N952">_xlfn.IFS(I952="Rob", "Robusta", I952="Exc", "Excelsa", I952="Ara", "Arabica", I952="Lib", "Liberica", TRUE, "")</f>
        <v>Robusta</v>
      </c>
      <c r="O952" t="str" cm="1">
        <f t="array" ref="O952">_xlfn.IFS(J952="M", "Medium", J952="L", "Light", J952="D", "Dark", TRUE, "")</f>
        <v>Light</v>
      </c>
      <c r="P952" t="str">
        <f>_xlfn.XLOOKUP(Table1[[#This Row],[Customer ID]], customers!$A$1:$A$1001, customers!$I$1:$I$1001,, 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INDEX(Product!$A$1:$G$49,MATCH(orders!$D953,Product!$A$1:$A$49,0),MATCH(orders!I$1,Product!$A$1:$G$1,0))</f>
        <v>Rob</v>
      </c>
      <c r="J953" t="str">
        <f>INDEX(Product!$A$1:$G$49,MATCH(orders!$D953,Product!$A$1:$A$49,0),MATCH(orders!J$1,Product!$A$1:$G$1,0))</f>
        <v>L</v>
      </c>
      <c r="K953" s="4">
        <f>INDEX(Product!$A$1:$G$49,MATCH(orders!$D953,Product!$A$1:$A$49,0),MATCH(orders!K$1,Product!$A$1:$G$1,0))</f>
        <v>0.2</v>
      </c>
      <c r="L953" s="5">
        <f>INDEX(Product!$A$1:$G$49,MATCH(orders!$D953,Product!$A$1:$A$49,0),MATCH(orders!L$1,Product!$A$1:$G$1,0))</f>
        <v>3.5849999999999995</v>
      </c>
      <c r="M953" s="5">
        <f t="shared" si="14"/>
        <v>21.509999999999998</v>
      </c>
      <c r="N953" t="str" cm="1">
        <f t="array" ref="N953">_xlfn.IFS(I953="Rob", "Robusta", I953="Exc", "Excelsa", I953="Ara", "Arabica", I953="Lib", "Liberica", TRUE, "")</f>
        <v>Robusta</v>
      </c>
      <c r="O953" t="str" cm="1">
        <f t="array" ref="O953">_xlfn.IFS(J953="M", "Medium", J953="L", "Light", J953="D", "Dark", TRUE, "")</f>
        <v>Light</v>
      </c>
      <c r="P953" t="str">
        <f>_xlfn.XLOOKUP(Table1[[#This Row],[Customer ID]], customers!$A$1:$A$1001, customers!$I$1:$I$1001,, 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INDEX(Product!$A$1:$G$49,MATCH(orders!$D954,Product!$A$1:$A$49,0),MATCH(orders!I$1,Product!$A$1:$G$1,0))</f>
        <v>Ara</v>
      </c>
      <c r="J954" t="str">
        <f>INDEX(Product!$A$1:$G$49,MATCH(orders!$D954,Product!$A$1:$A$49,0),MATCH(orders!J$1,Product!$A$1:$G$1,0))</f>
        <v>M</v>
      </c>
      <c r="K954" s="4">
        <f>INDEX(Product!$A$1:$G$49,MATCH(orders!$D954,Product!$A$1:$A$49,0),MATCH(orders!K$1,Product!$A$1:$G$1,0))</f>
        <v>1</v>
      </c>
      <c r="L954" s="5">
        <f>INDEX(Product!$A$1:$G$49,MATCH(orders!$D954,Product!$A$1:$A$49,0),MATCH(orders!L$1,Product!$A$1:$G$1,0))</f>
        <v>11.25</v>
      </c>
      <c r="M954" s="5">
        <f t="shared" si="14"/>
        <v>22.5</v>
      </c>
      <c r="N954" t="str" cm="1">
        <f t="array" ref="N954">_xlfn.IFS(I954="Rob", "Robusta", I954="Exc", "Excelsa", I954="Ara", "Arabica", I954="Lib", "Liberica", TRUE, "")</f>
        <v>Arabica</v>
      </c>
      <c r="O954" t="str" cm="1">
        <f t="array" ref="O954">_xlfn.IFS(J954="M", "Medium", J954="L", "Light", J954="D", "Dark", TRUE, "")</f>
        <v>Medium</v>
      </c>
      <c r="P954" t="str">
        <f>_xlfn.XLOOKUP(Table1[[#This Row],[Customer ID]], customers!$A$1:$A$1001, customers!$I$1:$I$1001,, 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INDEX(Product!$A$1:$G$49,MATCH(orders!$D955,Product!$A$1:$A$49,0),MATCH(orders!I$1,Product!$A$1:$G$1,0))</f>
        <v>Ara</v>
      </c>
      <c r="J955" t="str">
        <f>INDEX(Product!$A$1:$G$49,MATCH(orders!$D955,Product!$A$1:$A$49,0),MATCH(orders!J$1,Product!$A$1:$G$1,0))</f>
        <v>L</v>
      </c>
      <c r="K955" s="4">
        <f>INDEX(Product!$A$1:$G$49,MATCH(orders!$D955,Product!$A$1:$A$49,0),MATCH(orders!K$1,Product!$A$1:$G$1,0))</f>
        <v>0.2</v>
      </c>
      <c r="L955" s="5">
        <f>INDEX(Product!$A$1:$G$49,MATCH(orders!$D955,Product!$A$1:$A$49,0),MATCH(orders!L$1,Product!$A$1:$G$1,0))</f>
        <v>3.8849999999999998</v>
      </c>
      <c r="M955" s="5">
        <f t="shared" si="14"/>
        <v>3.8849999999999998</v>
      </c>
      <c r="N955" t="str" cm="1">
        <f t="array" ref="N955">_xlfn.IFS(I955="Rob", "Robusta", I955="Exc", "Excelsa", I955="Ara", "Arabica", I955="Lib", "Liberica", TRUE, "")</f>
        <v>Arabica</v>
      </c>
      <c r="O955" t="str" cm="1">
        <f t="array" ref="O955">_xlfn.IFS(J955="M", "Medium", J955="L", "Light", J955="D", "Dark", TRUE, "")</f>
        <v>Light</v>
      </c>
      <c r="P955" t="str">
        <f>_xlfn.XLOOKUP(Table1[[#This Row],[Customer ID]], customers!$A$1:$A$1001, customers!$I$1:$I$1001,, 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INDEX(Product!$A$1:$G$49,MATCH(orders!$D956,Product!$A$1:$A$49,0),MATCH(orders!I$1,Product!$A$1:$G$1,0))</f>
        <v>Exc</v>
      </c>
      <c r="J956" t="str">
        <f>INDEX(Product!$A$1:$G$49,MATCH(orders!$D956,Product!$A$1:$A$49,0),MATCH(orders!J$1,Product!$A$1:$G$1,0))</f>
        <v>D</v>
      </c>
      <c r="K956" s="4">
        <f>INDEX(Product!$A$1:$G$49,MATCH(orders!$D956,Product!$A$1:$A$49,0),MATCH(orders!K$1,Product!$A$1:$G$1,0))</f>
        <v>2.5</v>
      </c>
      <c r="L956" s="5">
        <f>INDEX(Product!$A$1:$G$49,MATCH(orders!$D956,Product!$A$1:$A$49,0),MATCH(orders!L$1,Product!$A$1:$G$1,0))</f>
        <v>27.945</v>
      </c>
      <c r="M956" s="5">
        <f t="shared" si="14"/>
        <v>27.945</v>
      </c>
      <c r="N956" t="str" cm="1">
        <f t="array" ref="N956">_xlfn.IFS(I956="Rob", "Robusta", I956="Exc", "Excelsa", I956="Ara", "Arabica", I956="Lib", "Liberica", TRUE, "")</f>
        <v>Excelsa</v>
      </c>
      <c r="O956" t="str" cm="1">
        <f t="array" ref="O956">_xlfn.IFS(J956="M", "Medium", J956="L", "Light", J956="D", "Dark", TRUE, "")</f>
        <v>Dark</v>
      </c>
      <c r="P956" t="str">
        <f>_xlfn.XLOOKUP(Table1[[#This Row],[Customer ID]], customers!$A$1:$A$1001, customers!$I$1:$I$1001,, 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INDEX(Product!$A$1:$G$49,MATCH(orders!$D957,Product!$A$1:$A$49,0),MATCH(orders!I$1,Product!$A$1:$G$1,0))</f>
        <v>Exc</v>
      </c>
      <c r="J957" t="str">
        <f>INDEX(Product!$A$1:$G$49,MATCH(orders!$D957,Product!$A$1:$A$49,0),MATCH(orders!J$1,Product!$A$1:$G$1,0))</f>
        <v>L</v>
      </c>
      <c r="K957" s="4">
        <f>INDEX(Product!$A$1:$G$49,MATCH(orders!$D957,Product!$A$1:$A$49,0),MATCH(orders!K$1,Product!$A$1:$G$1,0))</f>
        <v>2.5</v>
      </c>
      <c r="L957" s="5">
        <f>INDEX(Product!$A$1:$G$49,MATCH(orders!$D957,Product!$A$1:$A$49,0),MATCH(orders!L$1,Product!$A$1:$G$1,0))</f>
        <v>34.154999999999994</v>
      </c>
      <c r="M957" s="5">
        <f t="shared" si="14"/>
        <v>170.77499999999998</v>
      </c>
      <c r="N957" t="str" cm="1">
        <f t="array" ref="N957">_xlfn.IFS(I957="Rob", "Robusta", I957="Exc", "Excelsa", I957="Ara", "Arabica", I957="Lib", "Liberica", TRUE, "")</f>
        <v>Excelsa</v>
      </c>
      <c r="O957" t="str" cm="1">
        <f t="array" ref="O957">_xlfn.IFS(J957="M", "Medium", J957="L", "Light", J957="D", "Dark", TRUE, "")</f>
        <v>Light</v>
      </c>
      <c r="P957" t="str">
        <f>_xlfn.XLOOKUP(Table1[[#This Row],[Customer ID]], customers!$A$1:$A$1001, customers!$I$1:$I$1001,, 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INDEX(Product!$A$1:$G$49,MATCH(orders!$D958,Product!$A$1:$A$49,0),MATCH(orders!I$1,Product!$A$1:$G$1,0))</f>
        <v>Rob</v>
      </c>
      <c r="J958" t="str">
        <f>INDEX(Product!$A$1:$G$49,MATCH(orders!$D958,Product!$A$1:$A$49,0),MATCH(orders!J$1,Product!$A$1:$G$1,0))</f>
        <v>L</v>
      </c>
      <c r="K958" s="4">
        <f>INDEX(Product!$A$1:$G$49,MATCH(orders!$D958,Product!$A$1:$A$49,0),MATCH(orders!K$1,Product!$A$1:$G$1,0))</f>
        <v>2.5</v>
      </c>
      <c r="L958" s="5">
        <f>INDEX(Product!$A$1:$G$49,MATCH(orders!$D958,Product!$A$1:$A$49,0),MATCH(orders!L$1,Product!$A$1:$G$1,0))</f>
        <v>27.484999999999996</v>
      </c>
      <c r="M958" s="5">
        <f t="shared" si="14"/>
        <v>54.969999999999992</v>
      </c>
      <c r="N958" t="str" cm="1">
        <f t="array" ref="N958">_xlfn.IFS(I958="Rob", "Robusta", I958="Exc", "Excelsa", I958="Ara", "Arabica", I958="Lib", "Liberica", TRUE, "")</f>
        <v>Robusta</v>
      </c>
      <c r="O958" t="str" cm="1">
        <f t="array" ref="O958">_xlfn.IFS(J958="M", "Medium", J958="L", "Light", J958="D", "Dark", TRUE, "")</f>
        <v>Light</v>
      </c>
      <c r="P958" t="str">
        <f>_xlfn.XLOOKUP(Table1[[#This Row],[Customer ID]], customers!$A$1:$A$1001, customers!$I$1:$I$1001,, 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INDEX(Product!$A$1:$G$49,MATCH(orders!$D959,Product!$A$1:$A$49,0),MATCH(orders!I$1,Product!$A$1:$G$1,0))</f>
        <v>Exc</v>
      </c>
      <c r="J959" t="str">
        <f>INDEX(Product!$A$1:$G$49,MATCH(orders!$D959,Product!$A$1:$A$49,0),MATCH(orders!J$1,Product!$A$1:$G$1,0))</f>
        <v>L</v>
      </c>
      <c r="K959" s="4">
        <f>INDEX(Product!$A$1:$G$49,MATCH(orders!$D959,Product!$A$1:$A$49,0),MATCH(orders!K$1,Product!$A$1:$G$1,0))</f>
        <v>1</v>
      </c>
      <c r="L959" s="5">
        <f>INDEX(Product!$A$1:$G$49,MATCH(orders!$D959,Product!$A$1:$A$49,0),MATCH(orders!L$1,Product!$A$1:$G$1,0))</f>
        <v>14.85</v>
      </c>
      <c r="M959" s="5">
        <f t="shared" si="14"/>
        <v>14.85</v>
      </c>
      <c r="N959" t="str" cm="1">
        <f t="array" ref="N959">_xlfn.IFS(I959="Rob", "Robusta", I959="Exc", "Excelsa", I959="Ara", "Arabica", I959="Lib", "Liberica", TRUE, "")</f>
        <v>Excelsa</v>
      </c>
      <c r="O959" t="str" cm="1">
        <f t="array" ref="O959">_xlfn.IFS(J959="M", "Medium", J959="L", "Light", J959="D", "Dark", TRUE, "")</f>
        <v>Light</v>
      </c>
      <c r="P959" t="str">
        <f>_xlfn.XLOOKUP(Table1[[#This Row],[Customer ID]], customers!$A$1:$A$1001, customers!$I$1:$I$1001,, 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INDEX(Product!$A$1:$G$49,MATCH(orders!$D960,Product!$A$1:$A$49,0),MATCH(orders!I$1,Product!$A$1:$G$1,0))</f>
        <v>Ara</v>
      </c>
      <c r="J960" t="str">
        <f>INDEX(Product!$A$1:$G$49,MATCH(orders!$D960,Product!$A$1:$A$49,0),MATCH(orders!J$1,Product!$A$1:$G$1,0))</f>
        <v>L</v>
      </c>
      <c r="K960" s="4">
        <f>INDEX(Product!$A$1:$G$49,MATCH(orders!$D960,Product!$A$1:$A$49,0),MATCH(orders!K$1,Product!$A$1:$G$1,0))</f>
        <v>0.2</v>
      </c>
      <c r="L960" s="5">
        <f>INDEX(Product!$A$1:$G$49,MATCH(orders!$D960,Product!$A$1:$A$49,0),MATCH(orders!L$1,Product!$A$1:$G$1,0))</f>
        <v>3.8849999999999998</v>
      </c>
      <c r="M960" s="5">
        <f t="shared" si="14"/>
        <v>7.77</v>
      </c>
      <c r="N960" t="str" cm="1">
        <f t="array" ref="N960">_xlfn.IFS(I960="Rob", "Robusta", I960="Exc", "Excelsa", I960="Ara", "Arabica", I960="Lib", "Liberica", TRUE, "")</f>
        <v>Arabica</v>
      </c>
      <c r="O960" t="str" cm="1">
        <f t="array" ref="O960">_xlfn.IFS(J960="M", "Medium", J960="L", "Light", J960="D", "Dark", TRUE, "")</f>
        <v>Light</v>
      </c>
      <c r="P960" t="str">
        <f>_xlfn.XLOOKUP(Table1[[#This Row],[Customer ID]], customers!$A$1:$A$1001, customers!$I$1:$I$1001,, 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INDEX(Product!$A$1:$G$49,MATCH(orders!$D961,Product!$A$1:$A$49,0),MATCH(orders!I$1,Product!$A$1:$G$1,0))</f>
        <v>Lib</v>
      </c>
      <c r="J961" t="str">
        <f>INDEX(Product!$A$1:$G$49,MATCH(orders!$D961,Product!$A$1:$A$49,0),MATCH(orders!J$1,Product!$A$1:$G$1,0))</f>
        <v>L</v>
      </c>
      <c r="K961" s="4">
        <f>INDEX(Product!$A$1:$G$49,MATCH(orders!$D961,Product!$A$1:$A$49,0),MATCH(orders!K$1,Product!$A$1:$G$1,0))</f>
        <v>0.2</v>
      </c>
      <c r="L961" s="5">
        <f>INDEX(Product!$A$1:$G$49,MATCH(orders!$D961,Product!$A$1:$A$49,0),MATCH(orders!L$1,Product!$A$1:$G$1,0))</f>
        <v>4.7549999999999999</v>
      </c>
      <c r="M961" s="5">
        <f t="shared" si="14"/>
        <v>23.774999999999999</v>
      </c>
      <c r="N961" t="str" cm="1">
        <f t="array" ref="N961">_xlfn.IFS(I961="Rob", "Robusta", I961="Exc", "Excelsa", I961="Ara", "Arabica", I961="Lib", "Liberica", TRUE, "")</f>
        <v>Liberica</v>
      </c>
      <c r="O961" t="str" cm="1">
        <f t="array" ref="O961">_xlfn.IFS(J961="M", "Medium", J961="L", "Light", J961="D", "Dark", TRUE, "")</f>
        <v>Light</v>
      </c>
      <c r="P961" t="str">
        <f>_xlfn.XLOOKUP(Table1[[#This Row],[Customer ID]], customers!$A$1:$A$1001, customers!$I$1:$I$1001,, 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INDEX(Product!$A$1:$G$49,MATCH(orders!$D962,Product!$A$1:$A$49,0),MATCH(orders!I$1,Product!$A$1:$G$1,0))</f>
        <v>Lib</v>
      </c>
      <c r="J962" t="str">
        <f>INDEX(Product!$A$1:$G$49,MATCH(orders!$D962,Product!$A$1:$A$49,0),MATCH(orders!J$1,Product!$A$1:$G$1,0))</f>
        <v>L</v>
      </c>
      <c r="K962" s="4">
        <f>INDEX(Product!$A$1:$G$49,MATCH(orders!$D962,Product!$A$1:$A$49,0),MATCH(orders!K$1,Product!$A$1:$G$1,0))</f>
        <v>1</v>
      </c>
      <c r="L962" s="5">
        <f>INDEX(Product!$A$1:$G$49,MATCH(orders!$D962,Product!$A$1:$A$49,0),MATCH(orders!L$1,Product!$A$1:$G$1,0))</f>
        <v>15.85</v>
      </c>
      <c r="M962" s="5">
        <f t="shared" ref="M962:M1001" si="15">L962*E962</f>
        <v>79.25</v>
      </c>
      <c r="N962" t="str" cm="1">
        <f t="array" ref="N962">_xlfn.IFS(I962="Rob", "Robusta", I962="Exc", "Excelsa", I962="Ara", "Arabica", I962="Lib", "Liberica", TRUE, "")</f>
        <v>Liberica</v>
      </c>
      <c r="O962" t="str" cm="1">
        <f t="array" ref="O962">_xlfn.IFS(J962="M", "Medium", J962="L", "Light", J962="D", "Dark", TRUE, "")</f>
        <v>Light</v>
      </c>
      <c r="P962" t="str">
        <f>_xlfn.XLOOKUP(Table1[[#This Row],[Customer ID]], customers!$A$1:$A$1001, customers!$I$1:$I$1001,, 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INDEX(Product!$A$1:$G$49,MATCH(orders!$D963,Product!$A$1:$A$49,0),MATCH(orders!I$1,Product!$A$1:$G$1,0))</f>
        <v>Ara</v>
      </c>
      <c r="J963" t="str">
        <f>INDEX(Product!$A$1:$G$49,MATCH(orders!$D963,Product!$A$1:$A$49,0),MATCH(orders!J$1,Product!$A$1:$G$1,0))</f>
        <v>D</v>
      </c>
      <c r="K963" s="4">
        <f>INDEX(Product!$A$1:$G$49,MATCH(orders!$D963,Product!$A$1:$A$49,0),MATCH(orders!K$1,Product!$A$1:$G$1,0))</f>
        <v>2.5</v>
      </c>
      <c r="L963" s="5">
        <f>INDEX(Product!$A$1:$G$49,MATCH(orders!$D963,Product!$A$1:$A$49,0),MATCH(orders!L$1,Product!$A$1:$G$1,0))</f>
        <v>22.884999999999998</v>
      </c>
      <c r="M963" s="5">
        <f t="shared" si="15"/>
        <v>45.769999999999996</v>
      </c>
      <c r="N963" t="str" cm="1">
        <f t="array" ref="N963">_xlfn.IFS(I963="Rob", "Robusta", I963="Exc", "Excelsa", I963="Ara", "Arabica", I963="Lib", "Liberica", TRUE, "")</f>
        <v>Arabica</v>
      </c>
      <c r="O963" t="str" cm="1">
        <f t="array" ref="O963">_xlfn.IFS(J963="M", "Medium", J963="L", "Light", J963="D", "Dark", TRUE, "")</f>
        <v>Dark</v>
      </c>
      <c r="P963" t="str">
        <f>_xlfn.XLOOKUP(Table1[[#This Row],[Customer ID]], customers!$A$1:$A$1001, customers!$I$1:$I$1001,, 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INDEX(Product!$A$1:$G$49,MATCH(orders!$D964,Product!$A$1:$A$49,0),MATCH(orders!I$1,Product!$A$1:$G$1,0))</f>
        <v>Rob</v>
      </c>
      <c r="J964" t="str">
        <f>INDEX(Product!$A$1:$G$49,MATCH(orders!$D964,Product!$A$1:$A$49,0),MATCH(orders!J$1,Product!$A$1:$G$1,0))</f>
        <v>D</v>
      </c>
      <c r="K964" s="4">
        <f>INDEX(Product!$A$1:$G$49,MATCH(orders!$D964,Product!$A$1:$A$49,0),MATCH(orders!K$1,Product!$A$1:$G$1,0))</f>
        <v>1</v>
      </c>
      <c r="L964" s="5">
        <f>INDEX(Product!$A$1:$G$49,MATCH(orders!$D964,Product!$A$1:$A$49,0),MATCH(orders!L$1,Product!$A$1:$G$1,0))</f>
        <v>8.9499999999999993</v>
      </c>
      <c r="M964" s="5">
        <f t="shared" si="15"/>
        <v>8.9499999999999993</v>
      </c>
      <c r="N964" t="str" cm="1">
        <f t="array" ref="N964">_xlfn.IFS(I964="Rob", "Robusta", I964="Exc", "Excelsa", I964="Ara", "Arabica", I964="Lib", "Liberica", TRUE, "")</f>
        <v>Robusta</v>
      </c>
      <c r="O964" t="str" cm="1">
        <f t="array" ref="O964">_xlfn.IFS(J964="M", "Medium", J964="L", "Light", J964="D", "Dark", TRUE, "")</f>
        <v>Dark</v>
      </c>
      <c r="P964" t="str">
        <f>_xlfn.XLOOKUP(Table1[[#This Row],[Customer ID]], customers!$A$1:$A$1001, customers!$I$1:$I$1001,, 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INDEX(Product!$A$1:$G$49,MATCH(orders!$D965,Product!$A$1:$A$49,0),MATCH(orders!I$1,Product!$A$1:$G$1,0))</f>
        <v>Rob</v>
      </c>
      <c r="J965" t="str">
        <f>INDEX(Product!$A$1:$G$49,MATCH(orders!$D965,Product!$A$1:$A$49,0),MATCH(orders!J$1,Product!$A$1:$G$1,0))</f>
        <v>M</v>
      </c>
      <c r="K965" s="4">
        <f>INDEX(Product!$A$1:$G$49,MATCH(orders!$D965,Product!$A$1:$A$49,0),MATCH(orders!K$1,Product!$A$1:$G$1,0))</f>
        <v>0.5</v>
      </c>
      <c r="L965" s="5">
        <f>INDEX(Product!$A$1:$G$49,MATCH(orders!$D965,Product!$A$1:$A$49,0),MATCH(orders!L$1,Product!$A$1:$G$1,0))</f>
        <v>5.97</v>
      </c>
      <c r="M965" s="5">
        <f t="shared" si="15"/>
        <v>23.88</v>
      </c>
      <c r="N965" t="str" cm="1">
        <f t="array" ref="N965">_xlfn.IFS(I965="Rob", "Robusta", I965="Exc", "Excelsa", I965="Ara", "Arabica", I965="Lib", "Liberica", TRUE, "")</f>
        <v>Robusta</v>
      </c>
      <c r="O965" t="str" cm="1">
        <f t="array" ref="O965">_xlfn.IFS(J965="M", "Medium", J965="L", "Light", J965="D", "Dark", TRUE, "")</f>
        <v>Medium</v>
      </c>
      <c r="P965" t="str">
        <f>_xlfn.XLOOKUP(Table1[[#This Row],[Customer ID]], customers!$A$1:$A$1001, customers!$I$1:$I$1001,, 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INDEX(Product!$A$1:$G$49,MATCH(orders!$D966,Product!$A$1:$A$49,0),MATCH(orders!I$1,Product!$A$1:$G$1,0))</f>
        <v>Exc</v>
      </c>
      <c r="J966" t="str">
        <f>INDEX(Product!$A$1:$G$49,MATCH(orders!$D966,Product!$A$1:$A$49,0),MATCH(orders!J$1,Product!$A$1:$G$1,0))</f>
        <v>L</v>
      </c>
      <c r="K966" s="4">
        <f>INDEX(Product!$A$1:$G$49,MATCH(orders!$D966,Product!$A$1:$A$49,0),MATCH(orders!K$1,Product!$A$1:$G$1,0))</f>
        <v>0.2</v>
      </c>
      <c r="L966" s="5">
        <f>INDEX(Product!$A$1:$G$49,MATCH(orders!$D966,Product!$A$1:$A$49,0),MATCH(orders!L$1,Product!$A$1:$G$1,0))</f>
        <v>4.4550000000000001</v>
      </c>
      <c r="M966" s="5">
        <f t="shared" si="15"/>
        <v>22.274999999999999</v>
      </c>
      <c r="N966" t="str" cm="1">
        <f t="array" ref="N966">_xlfn.IFS(I966="Rob", "Robusta", I966="Exc", "Excelsa", I966="Ara", "Arabica", I966="Lib", "Liberica", TRUE, "")</f>
        <v>Excelsa</v>
      </c>
      <c r="O966" t="str" cm="1">
        <f t="array" ref="O966">_xlfn.IFS(J966="M", "Medium", J966="L", "Light", J966="D", "Dark", TRUE, "")</f>
        <v>Light</v>
      </c>
      <c r="P966" t="str">
        <f>_xlfn.XLOOKUP(Table1[[#This Row],[Customer ID]], customers!$A$1:$A$1001, customers!$I$1:$I$1001,, 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INDEX(Product!$A$1:$G$49,MATCH(orders!$D967,Product!$A$1:$A$49,0),MATCH(orders!I$1,Product!$A$1:$G$1,0))</f>
        <v>Rob</v>
      </c>
      <c r="J967" t="str">
        <f>INDEX(Product!$A$1:$G$49,MATCH(orders!$D967,Product!$A$1:$A$49,0),MATCH(orders!J$1,Product!$A$1:$G$1,0))</f>
        <v>M</v>
      </c>
      <c r="K967" s="4">
        <f>INDEX(Product!$A$1:$G$49,MATCH(orders!$D967,Product!$A$1:$A$49,0),MATCH(orders!K$1,Product!$A$1:$G$1,0))</f>
        <v>1</v>
      </c>
      <c r="L967" s="5">
        <f>INDEX(Product!$A$1:$G$49,MATCH(orders!$D967,Product!$A$1:$A$49,0),MATCH(orders!L$1,Product!$A$1:$G$1,0))</f>
        <v>9.9499999999999993</v>
      </c>
      <c r="M967" s="5">
        <f t="shared" si="15"/>
        <v>29.849999999999998</v>
      </c>
      <c r="N967" t="str" cm="1">
        <f t="array" ref="N967">_xlfn.IFS(I967="Rob", "Robusta", I967="Exc", "Excelsa", I967="Ara", "Arabica", I967="Lib", "Liberica", TRUE, "")</f>
        <v>Robusta</v>
      </c>
      <c r="O967" t="str" cm="1">
        <f t="array" ref="O967">_xlfn.IFS(J967="M", "Medium", J967="L", "Light", J967="D", "Dark", TRUE, "")</f>
        <v>Medium</v>
      </c>
      <c r="P967" t="str">
        <f>_xlfn.XLOOKUP(Table1[[#This Row],[Customer ID]], customers!$A$1:$A$1001, customers!$I$1:$I$1001,, 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INDEX(Product!$A$1:$G$49,MATCH(orders!$D968,Product!$A$1:$A$49,0),MATCH(orders!I$1,Product!$A$1:$G$1,0))</f>
        <v>Exc</v>
      </c>
      <c r="J968" t="str">
        <f>INDEX(Product!$A$1:$G$49,MATCH(orders!$D968,Product!$A$1:$A$49,0),MATCH(orders!J$1,Product!$A$1:$G$1,0))</f>
        <v>L</v>
      </c>
      <c r="K968" s="4">
        <f>INDEX(Product!$A$1:$G$49,MATCH(orders!$D968,Product!$A$1:$A$49,0),MATCH(orders!K$1,Product!$A$1:$G$1,0))</f>
        <v>0.5</v>
      </c>
      <c r="L968" s="5">
        <f>INDEX(Product!$A$1:$G$49,MATCH(orders!$D968,Product!$A$1:$A$49,0),MATCH(orders!L$1,Product!$A$1:$G$1,0))</f>
        <v>8.91</v>
      </c>
      <c r="M968" s="5">
        <f t="shared" si="15"/>
        <v>53.46</v>
      </c>
      <c r="N968" t="str" cm="1">
        <f t="array" ref="N968">_xlfn.IFS(I968="Rob", "Robusta", I968="Exc", "Excelsa", I968="Ara", "Arabica", I968="Lib", "Liberica", TRUE, "")</f>
        <v>Excelsa</v>
      </c>
      <c r="O968" t="str" cm="1">
        <f t="array" ref="O968">_xlfn.IFS(J968="M", "Medium", J968="L", "Light", J968="D", "Dark", TRUE, "")</f>
        <v>Light</v>
      </c>
      <c r="P968" t="str">
        <f>_xlfn.XLOOKUP(Table1[[#This Row],[Customer ID]], customers!$A$1:$A$1001, customers!$I$1:$I$1001,, 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INDEX(Product!$A$1:$G$49,MATCH(orders!$D969,Product!$A$1:$A$49,0),MATCH(orders!I$1,Product!$A$1:$G$1,0))</f>
        <v>Rob</v>
      </c>
      <c r="J969" t="str">
        <f>INDEX(Product!$A$1:$G$49,MATCH(orders!$D969,Product!$A$1:$A$49,0),MATCH(orders!J$1,Product!$A$1:$G$1,0))</f>
        <v>D</v>
      </c>
      <c r="K969" s="4">
        <f>INDEX(Product!$A$1:$G$49,MATCH(orders!$D969,Product!$A$1:$A$49,0),MATCH(orders!K$1,Product!$A$1:$G$1,0))</f>
        <v>0.2</v>
      </c>
      <c r="L969" s="5">
        <f>INDEX(Product!$A$1:$G$49,MATCH(orders!$D969,Product!$A$1:$A$49,0),MATCH(orders!L$1,Product!$A$1:$G$1,0))</f>
        <v>2.6849999999999996</v>
      </c>
      <c r="M969" s="5">
        <f t="shared" si="15"/>
        <v>2.6849999999999996</v>
      </c>
      <c r="N969" t="str" cm="1">
        <f t="array" ref="N969">_xlfn.IFS(I969="Rob", "Robusta", I969="Exc", "Excelsa", I969="Ara", "Arabica", I969="Lib", "Liberica", TRUE, "")</f>
        <v>Robusta</v>
      </c>
      <c r="O969" t="str" cm="1">
        <f t="array" ref="O969">_xlfn.IFS(J969="M", "Medium", J969="L", "Light", J969="D", "Dark", TRUE, "")</f>
        <v>Dark</v>
      </c>
      <c r="P969" t="str">
        <f>_xlfn.XLOOKUP(Table1[[#This Row],[Customer ID]], customers!$A$1:$A$1001, customers!$I$1:$I$1001,, 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INDEX(Product!$A$1:$G$49,MATCH(orders!$D970,Product!$A$1:$A$49,0),MATCH(orders!I$1,Product!$A$1:$G$1,0))</f>
        <v>Rob</v>
      </c>
      <c r="J970" t="str">
        <f>INDEX(Product!$A$1:$G$49,MATCH(orders!$D970,Product!$A$1:$A$49,0),MATCH(orders!J$1,Product!$A$1:$G$1,0))</f>
        <v>M</v>
      </c>
      <c r="K970" s="4">
        <f>INDEX(Product!$A$1:$G$49,MATCH(orders!$D970,Product!$A$1:$A$49,0),MATCH(orders!K$1,Product!$A$1:$G$1,0))</f>
        <v>0.2</v>
      </c>
      <c r="L970" s="5">
        <f>INDEX(Product!$A$1:$G$49,MATCH(orders!$D970,Product!$A$1:$A$49,0),MATCH(orders!L$1,Product!$A$1:$G$1,0))</f>
        <v>2.9849999999999999</v>
      </c>
      <c r="M970" s="5">
        <f t="shared" si="15"/>
        <v>5.97</v>
      </c>
      <c r="N970" t="str" cm="1">
        <f t="array" ref="N970">_xlfn.IFS(I970="Rob", "Robusta", I970="Exc", "Excelsa", I970="Ara", "Arabica", I970="Lib", "Liberica", TRUE, "")</f>
        <v>Robusta</v>
      </c>
      <c r="O970" t="str" cm="1">
        <f t="array" ref="O970">_xlfn.IFS(J970="M", "Medium", J970="L", "Light", J970="D", "Dark", TRUE, "")</f>
        <v>Medium</v>
      </c>
      <c r="P970" t="str">
        <f>_xlfn.XLOOKUP(Table1[[#This Row],[Customer ID]], customers!$A$1:$A$1001, customers!$I$1:$I$1001,, 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INDEX(Product!$A$1:$G$49,MATCH(orders!$D971,Product!$A$1:$A$49,0),MATCH(orders!I$1,Product!$A$1:$G$1,0))</f>
        <v>Lib</v>
      </c>
      <c r="J971" t="str">
        <f>INDEX(Product!$A$1:$G$49,MATCH(orders!$D971,Product!$A$1:$A$49,0),MATCH(orders!J$1,Product!$A$1:$G$1,0))</f>
        <v>D</v>
      </c>
      <c r="K971" s="4">
        <f>INDEX(Product!$A$1:$G$49,MATCH(orders!$D971,Product!$A$1:$A$49,0),MATCH(orders!K$1,Product!$A$1:$G$1,0))</f>
        <v>1</v>
      </c>
      <c r="L971" s="5">
        <f>INDEX(Product!$A$1:$G$49,MATCH(orders!$D971,Product!$A$1:$A$49,0),MATCH(orders!L$1,Product!$A$1:$G$1,0))</f>
        <v>12.95</v>
      </c>
      <c r="M971" s="5">
        <f t="shared" si="15"/>
        <v>12.95</v>
      </c>
      <c r="N971" t="str" cm="1">
        <f t="array" ref="N971">_xlfn.IFS(I971="Rob", "Robusta", I971="Exc", "Excelsa", I971="Ara", "Arabica", I971="Lib", "Liberica", TRUE, "")</f>
        <v>Liberica</v>
      </c>
      <c r="O971" t="str" cm="1">
        <f t="array" ref="O971">_xlfn.IFS(J971="M", "Medium", J971="L", "Light", J971="D", "Dark", TRUE, "")</f>
        <v>Dark</v>
      </c>
      <c r="P971" t="str">
        <f>_xlfn.XLOOKUP(Table1[[#This Row],[Customer ID]], customers!$A$1:$A$1001, customers!$I$1:$I$1001,, 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INDEX(Product!$A$1:$G$49,MATCH(orders!$D972,Product!$A$1:$A$49,0),MATCH(orders!I$1,Product!$A$1:$G$1,0))</f>
        <v>Exc</v>
      </c>
      <c r="J972" t="str">
        <f>INDEX(Product!$A$1:$G$49,MATCH(orders!$D972,Product!$A$1:$A$49,0),MATCH(orders!J$1,Product!$A$1:$G$1,0))</f>
        <v>M</v>
      </c>
      <c r="K972" s="4">
        <f>INDEX(Product!$A$1:$G$49,MATCH(orders!$D972,Product!$A$1:$A$49,0),MATCH(orders!K$1,Product!$A$1:$G$1,0))</f>
        <v>0.5</v>
      </c>
      <c r="L972" s="5">
        <f>INDEX(Product!$A$1:$G$49,MATCH(orders!$D972,Product!$A$1:$A$49,0),MATCH(orders!L$1,Product!$A$1:$G$1,0))</f>
        <v>8.25</v>
      </c>
      <c r="M972" s="5">
        <f t="shared" si="15"/>
        <v>8.25</v>
      </c>
      <c r="N972" t="str" cm="1">
        <f t="array" ref="N972">_xlfn.IFS(I972="Rob", "Robusta", I972="Exc", "Excelsa", I972="Ara", "Arabica", I972="Lib", "Liberica", TRUE, "")</f>
        <v>Excelsa</v>
      </c>
      <c r="O972" t="str" cm="1">
        <f t="array" ref="O972">_xlfn.IFS(J972="M", "Medium", J972="L", "Light", J972="D", "Dark", TRUE, "")</f>
        <v>Medium</v>
      </c>
      <c r="P972" t="str">
        <f>_xlfn.XLOOKUP(Table1[[#This Row],[Customer ID]], customers!$A$1:$A$1001, customers!$I$1:$I$1001,, 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INDEX(Product!$A$1:$G$49,MATCH(orders!$D973,Product!$A$1:$A$49,0),MATCH(orders!I$1,Product!$A$1:$G$1,0))</f>
        <v>Ara</v>
      </c>
      <c r="J973" t="str">
        <f>INDEX(Product!$A$1:$G$49,MATCH(orders!$D973,Product!$A$1:$A$49,0),MATCH(orders!J$1,Product!$A$1:$G$1,0))</f>
        <v>L</v>
      </c>
      <c r="K973" s="4">
        <f>INDEX(Product!$A$1:$G$49,MATCH(orders!$D973,Product!$A$1:$A$49,0),MATCH(orders!K$1,Product!$A$1:$G$1,0))</f>
        <v>2.5</v>
      </c>
      <c r="L973" s="5">
        <f>INDEX(Product!$A$1:$G$49,MATCH(orders!$D973,Product!$A$1:$A$49,0),MATCH(orders!L$1,Product!$A$1:$G$1,0))</f>
        <v>29.784999999999997</v>
      </c>
      <c r="M973" s="5">
        <f t="shared" si="15"/>
        <v>148.92499999999998</v>
      </c>
      <c r="N973" t="str" cm="1">
        <f t="array" ref="N973">_xlfn.IFS(I973="Rob", "Robusta", I973="Exc", "Excelsa", I973="Ara", "Arabica", I973="Lib", "Liberica", TRUE, "")</f>
        <v>Arabica</v>
      </c>
      <c r="O973" t="str" cm="1">
        <f t="array" ref="O973">_xlfn.IFS(J973="M", "Medium", J973="L", "Light", J973="D", "Dark", TRUE, "")</f>
        <v>Light</v>
      </c>
      <c r="P973" t="str">
        <f>_xlfn.XLOOKUP(Table1[[#This Row],[Customer ID]], customers!$A$1:$A$1001, customers!$I$1:$I$1001,, 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INDEX(Product!$A$1:$G$49,MATCH(orders!$D974,Product!$A$1:$A$49,0),MATCH(orders!I$1,Product!$A$1:$G$1,0))</f>
        <v>Ara</v>
      </c>
      <c r="J974" t="str">
        <f>INDEX(Product!$A$1:$G$49,MATCH(orders!$D974,Product!$A$1:$A$49,0),MATCH(orders!J$1,Product!$A$1:$G$1,0))</f>
        <v>L</v>
      </c>
      <c r="K974" s="4">
        <f>INDEX(Product!$A$1:$G$49,MATCH(orders!$D974,Product!$A$1:$A$49,0),MATCH(orders!K$1,Product!$A$1:$G$1,0))</f>
        <v>2.5</v>
      </c>
      <c r="L974" s="5">
        <f>INDEX(Product!$A$1:$G$49,MATCH(orders!$D974,Product!$A$1:$A$49,0),MATCH(orders!L$1,Product!$A$1:$G$1,0))</f>
        <v>29.784999999999997</v>
      </c>
      <c r="M974" s="5">
        <f t="shared" si="15"/>
        <v>89.35499999999999</v>
      </c>
      <c r="N974" t="str" cm="1">
        <f t="array" ref="N974">_xlfn.IFS(I974="Rob", "Robusta", I974="Exc", "Excelsa", I974="Ara", "Arabica", I974="Lib", "Liberica", TRUE, "")</f>
        <v>Arabica</v>
      </c>
      <c r="O974" t="str" cm="1">
        <f t="array" ref="O974">_xlfn.IFS(J974="M", "Medium", J974="L", "Light", J974="D", "Dark", TRUE, "")</f>
        <v>Light</v>
      </c>
      <c r="P974" t="str">
        <f>_xlfn.XLOOKUP(Table1[[#This Row],[Customer ID]], customers!$A$1:$A$1001, customers!$I$1:$I$1001,, 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INDEX(Product!$A$1:$G$49,MATCH(orders!$D975,Product!$A$1:$A$49,0),MATCH(orders!I$1,Product!$A$1:$G$1,0))</f>
        <v>Lib</v>
      </c>
      <c r="J975" t="str">
        <f>INDEX(Product!$A$1:$G$49,MATCH(orders!$D975,Product!$A$1:$A$49,0),MATCH(orders!J$1,Product!$A$1:$G$1,0))</f>
        <v>M</v>
      </c>
      <c r="K975" s="4">
        <f>INDEX(Product!$A$1:$G$49,MATCH(orders!$D975,Product!$A$1:$A$49,0),MATCH(orders!K$1,Product!$A$1:$G$1,0))</f>
        <v>1</v>
      </c>
      <c r="L975" s="5">
        <f>INDEX(Product!$A$1:$G$49,MATCH(orders!$D975,Product!$A$1:$A$49,0),MATCH(orders!L$1,Product!$A$1:$G$1,0))</f>
        <v>14.55</v>
      </c>
      <c r="M975" s="5">
        <f t="shared" si="15"/>
        <v>87.300000000000011</v>
      </c>
      <c r="N975" t="str" cm="1">
        <f t="array" ref="N975">_xlfn.IFS(I975="Rob", "Robusta", I975="Exc", "Excelsa", I975="Ara", "Arabica", I975="Lib", "Liberica", TRUE, "")</f>
        <v>Liberica</v>
      </c>
      <c r="O975" t="str" cm="1">
        <f t="array" ref="O975">_xlfn.IFS(J975="M", "Medium", J975="L", "Light", J975="D", "Dark", TRUE, "")</f>
        <v>Medium</v>
      </c>
      <c r="P975" t="str">
        <f>_xlfn.XLOOKUP(Table1[[#This Row],[Customer ID]], customers!$A$1:$A$1001, customers!$I$1:$I$1001,, 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INDEX(Product!$A$1:$G$49,MATCH(orders!$D976,Product!$A$1:$A$49,0),MATCH(orders!I$1,Product!$A$1:$G$1,0))</f>
        <v>Rob</v>
      </c>
      <c r="J976" t="str">
        <f>INDEX(Product!$A$1:$G$49,MATCH(orders!$D976,Product!$A$1:$A$49,0),MATCH(orders!J$1,Product!$A$1:$G$1,0))</f>
        <v>D</v>
      </c>
      <c r="K976" s="4">
        <f>INDEX(Product!$A$1:$G$49,MATCH(orders!$D976,Product!$A$1:$A$49,0),MATCH(orders!K$1,Product!$A$1:$G$1,0))</f>
        <v>0.5</v>
      </c>
      <c r="L976" s="5">
        <f>INDEX(Product!$A$1:$G$49,MATCH(orders!$D976,Product!$A$1:$A$49,0),MATCH(orders!L$1,Product!$A$1:$G$1,0))</f>
        <v>5.3699999999999992</v>
      </c>
      <c r="M976" s="5">
        <f t="shared" si="15"/>
        <v>5.3699999999999992</v>
      </c>
      <c r="N976" t="str" cm="1">
        <f t="array" ref="N976">_xlfn.IFS(I976="Rob", "Robusta", I976="Exc", "Excelsa", I976="Ara", "Arabica", I976="Lib", "Liberica", TRUE, "")</f>
        <v>Robusta</v>
      </c>
      <c r="O976" t="str" cm="1">
        <f t="array" ref="O976">_xlfn.IFS(J976="M", "Medium", J976="L", "Light", J976="D", "Dark", TRUE, "")</f>
        <v>Dark</v>
      </c>
      <c r="P976" t="str">
        <f>_xlfn.XLOOKUP(Table1[[#This Row],[Customer ID]], customers!$A$1:$A$1001, customers!$I$1:$I$1001,, 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INDEX(Product!$A$1:$G$49,MATCH(orders!$D977,Product!$A$1:$A$49,0),MATCH(orders!I$1,Product!$A$1:$G$1,0))</f>
        <v>Ara</v>
      </c>
      <c r="J977" t="str">
        <f>INDEX(Product!$A$1:$G$49,MATCH(orders!$D977,Product!$A$1:$A$49,0),MATCH(orders!J$1,Product!$A$1:$G$1,0))</f>
        <v>D</v>
      </c>
      <c r="K977" s="4">
        <f>INDEX(Product!$A$1:$G$49,MATCH(orders!$D977,Product!$A$1:$A$49,0),MATCH(orders!K$1,Product!$A$1:$G$1,0))</f>
        <v>0.2</v>
      </c>
      <c r="L977" s="5">
        <f>INDEX(Product!$A$1:$G$49,MATCH(orders!$D977,Product!$A$1:$A$49,0),MATCH(orders!L$1,Product!$A$1:$G$1,0))</f>
        <v>2.9849999999999999</v>
      </c>
      <c r="M977" s="5">
        <f t="shared" si="15"/>
        <v>8.9550000000000001</v>
      </c>
      <c r="N977" t="str" cm="1">
        <f t="array" ref="N977">_xlfn.IFS(I977="Rob", "Robusta", I977="Exc", "Excelsa", I977="Ara", "Arabica", I977="Lib", "Liberica", TRUE, "")</f>
        <v>Arabica</v>
      </c>
      <c r="O977" t="str" cm="1">
        <f t="array" ref="O977">_xlfn.IFS(J977="M", "Medium", J977="L", "Light", J977="D", "Dark", TRUE, "")</f>
        <v>Dark</v>
      </c>
      <c r="P977" t="str">
        <f>_xlfn.XLOOKUP(Table1[[#This Row],[Customer ID]], customers!$A$1:$A$1001, customers!$I$1:$I$1001,, 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INDEX(Product!$A$1:$G$49,MATCH(orders!$D978,Product!$A$1:$A$49,0),MATCH(orders!I$1,Product!$A$1:$G$1,0))</f>
        <v>Rob</v>
      </c>
      <c r="J978" t="str">
        <f>INDEX(Product!$A$1:$G$49,MATCH(orders!$D978,Product!$A$1:$A$49,0),MATCH(orders!J$1,Product!$A$1:$G$1,0))</f>
        <v>L</v>
      </c>
      <c r="K978" s="4">
        <f>INDEX(Product!$A$1:$G$49,MATCH(orders!$D978,Product!$A$1:$A$49,0),MATCH(orders!K$1,Product!$A$1:$G$1,0))</f>
        <v>2.5</v>
      </c>
      <c r="L978" s="5">
        <f>INDEX(Product!$A$1:$G$49,MATCH(orders!$D978,Product!$A$1:$A$49,0),MATCH(orders!L$1,Product!$A$1:$G$1,0))</f>
        <v>27.484999999999996</v>
      </c>
      <c r="M978" s="5">
        <f t="shared" si="15"/>
        <v>137.42499999999998</v>
      </c>
      <c r="N978" t="str" cm="1">
        <f t="array" ref="N978">_xlfn.IFS(I978="Rob", "Robusta", I978="Exc", "Excelsa", I978="Ara", "Arabica", I978="Lib", "Liberica", TRUE, "")</f>
        <v>Robusta</v>
      </c>
      <c r="O978" t="str" cm="1">
        <f t="array" ref="O978">_xlfn.IFS(J978="M", "Medium", J978="L", "Light", J978="D", "Dark", TRUE, "")</f>
        <v>Light</v>
      </c>
      <c r="P978" t="str">
        <f>_xlfn.XLOOKUP(Table1[[#This Row],[Customer ID]], customers!$A$1:$A$1001, customers!$I$1:$I$1001,, 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INDEX(Product!$A$1:$G$49,MATCH(orders!$D979,Product!$A$1:$A$49,0),MATCH(orders!I$1,Product!$A$1:$G$1,0))</f>
        <v>Rob</v>
      </c>
      <c r="J979" t="str">
        <f>INDEX(Product!$A$1:$G$49,MATCH(orders!$D979,Product!$A$1:$A$49,0),MATCH(orders!J$1,Product!$A$1:$G$1,0))</f>
        <v>L</v>
      </c>
      <c r="K979" s="4">
        <f>INDEX(Product!$A$1:$G$49,MATCH(orders!$D979,Product!$A$1:$A$49,0),MATCH(orders!K$1,Product!$A$1:$G$1,0))</f>
        <v>1</v>
      </c>
      <c r="L979" s="5">
        <f>INDEX(Product!$A$1:$G$49,MATCH(orders!$D979,Product!$A$1:$A$49,0),MATCH(orders!L$1,Product!$A$1:$G$1,0))</f>
        <v>11.95</v>
      </c>
      <c r="M979" s="5">
        <f t="shared" si="15"/>
        <v>59.75</v>
      </c>
      <c r="N979" t="str" cm="1">
        <f t="array" ref="N979">_xlfn.IFS(I979="Rob", "Robusta", I979="Exc", "Excelsa", I979="Ara", "Arabica", I979="Lib", "Liberica", TRUE, "")</f>
        <v>Robusta</v>
      </c>
      <c r="O979" t="str" cm="1">
        <f t="array" ref="O979">_xlfn.IFS(J979="M", "Medium", J979="L", "Light", J979="D", "Dark", TRUE, "")</f>
        <v>Light</v>
      </c>
      <c r="P979" t="str">
        <f>_xlfn.XLOOKUP(Table1[[#This Row],[Customer ID]], customers!$A$1:$A$1001, customers!$I$1:$I$1001,, 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INDEX(Product!$A$1:$G$49,MATCH(orders!$D980,Product!$A$1:$A$49,0),MATCH(orders!I$1,Product!$A$1:$G$1,0))</f>
        <v>Ara</v>
      </c>
      <c r="J980" t="str">
        <f>INDEX(Product!$A$1:$G$49,MATCH(orders!$D980,Product!$A$1:$A$49,0),MATCH(orders!J$1,Product!$A$1:$G$1,0))</f>
        <v>L</v>
      </c>
      <c r="K980" s="4">
        <f>INDEX(Product!$A$1:$G$49,MATCH(orders!$D980,Product!$A$1:$A$49,0),MATCH(orders!K$1,Product!$A$1:$G$1,0))</f>
        <v>0.5</v>
      </c>
      <c r="L980" s="5">
        <f>INDEX(Product!$A$1:$G$49,MATCH(orders!$D980,Product!$A$1:$A$49,0),MATCH(orders!L$1,Product!$A$1:$G$1,0))</f>
        <v>7.77</v>
      </c>
      <c r="M980" s="5">
        <f t="shared" si="15"/>
        <v>23.31</v>
      </c>
      <c r="N980" t="str" cm="1">
        <f t="array" ref="N980">_xlfn.IFS(I980="Rob", "Robusta", I980="Exc", "Excelsa", I980="Ara", "Arabica", I980="Lib", "Liberica", TRUE, "")</f>
        <v>Arabica</v>
      </c>
      <c r="O980" t="str" cm="1">
        <f t="array" ref="O980">_xlfn.IFS(J980="M", "Medium", J980="L", "Light", J980="D", "Dark", TRUE, "")</f>
        <v>Light</v>
      </c>
      <c r="P980" t="str">
        <f>_xlfn.XLOOKUP(Table1[[#This Row],[Customer ID]], customers!$A$1:$A$1001, customers!$I$1:$I$1001,, 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INDEX(Product!$A$1:$G$49,MATCH(orders!$D981,Product!$A$1:$A$49,0),MATCH(orders!I$1,Product!$A$1:$G$1,0))</f>
        <v>Rob</v>
      </c>
      <c r="J981" t="str">
        <f>INDEX(Product!$A$1:$G$49,MATCH(orders!$D981,Product!$A$1:$A$49,0),MATCH(orders!J$1,Product!$A$1:$G$1,0))</f>
        <v>D</v>
      </c>
      <c r="K981" s="4">
        <f>INDEX(Product!$A$1:$G$49,MATCH(orders!$D981,Product!$A$1:$A$49,0),MATCH(orders!K$1,Product!$A$1:$G$1,0))</f>
        <v>0.5</v>
      </c>
      <c r="L981" s="5">
        <f>INDEX(Product!$A$1:$G$49,MATCH(orders!$D981,Product!$A$1:$A$49,0),MATCH(orders!L$1,Product!$A$1:$G$1,0))</f>
        <v>5.3699999999999992</v>
      </c>
      <c r="M981" s="5">
        <f t="shared" si="15"/>
        <v>10.739999999999998</v>
      </c>
      <c r="N981" t="str" cm="1">
        <f t="array" ref="N981">_xlfn.IFS(I981="Rob", "Robusta", I981="Exc", "Excelsa", I981="Ara", "Arabica", I981="Lib", "Liberica", TRUE, "")</f>
        <v>Robusta</v>
      </c>
      <c r="O981" t="str" cm="1">
        <f t="array" ref="O981">_xlfn.IFS(J981="M", "Medium", J981="L", "Light", J981="D", "Dark", TRUE, "")</f>
        <v>Dark</v>
      </c>
      <c r="P981" t="str">
        <f>_xlfn.XLOOKUP(Table1[[#This Row],[Customer ID]], customers!$A$1:$A$1001, customers!$I$1:$I$1001,, 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INDEX(Product!$A$1:$G$49,MATCH(orders!$D982,Product!$A$1:$A$49,0),MATCH(orders!I$1,Product!$A$1:$G$1,0))</f>
        <v>Exc</v>
      </c>
      <c r="J982" t="str">
        <f>INDEX(Product!$A$1:$G$49,MATCH(orders!$D982,Product!$A$1:$A$49,0),MATCH(orders!J$1,Product!$A$1:$G$1,0))</f>
        <v>D</v>
      </c>
      <c r="K982" s="4">
        <f>INDEX(Product!$A$1:$G$49,MATCH(orders!$D982,Product!$A$1:$A$49,0),MATCH(orders!K$1,Product!$A$1:$G$1,0))</f>
        <v>2.5</v>
      </c>
      <c r="L982" s="5">
        <f>INDEX(Product!$A$1:$G$49,MATCH(orders!$D982,Product!$A$1:$A$49,0),MATCH(orders!L$1,Product!$A$1:$G$1,0))</f>
        <v>27.945</v>
      </c>
      <c r="M982" s="5">
        <f t="shared" si="15"/>
        <v>167.67000000000002</v>
      </c>
      <c r="N982" t="str" cm="1">
        <f t="array" ref="N982">_xlfn.IFS(I982="Rob", "Robusta", I982="Exc", "Excelsa", I982="Ara", "Arabica", I982="Lib", "Liberica", TRUE, "")</f>
        <v>Excelsa</v>
      </c>
      <c r="O982" t="str" cm="1">
        <f t="array" ref="O982">_xlfn.IFS(J982="M", "Medium", J982="L", "Light", J982="D", "Dark", TRUE, "")</f>
        <v>Dark</v>
      </c>
      <c r="P982" t="str">
        <f>_xlfn.XLOOKUP(Table1[[#This Row],[Customer ID]], customers!$A$1:$A$1001, customers!$I$1:$I$1001,, 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INDEX(Product!$A$1:$G$49,MATCH(orders!$D983,Product!$A$1:$A$49,0),MATCH(orders!I$1,Product!$A$1:$G$1,0))</f>
        <v>Exc</v>
      </c>
      <c r="J983" t="str">
        <f>INDEX(Product!$A$1:$G$49,MATCH(orders!$D983,Product!$A$1:$A$49,0),MATCH(orders!J$1,Product!$A$1:$G$1,0))</f>
        <v>D</v>
      </c>
      <c r="K983" s="4">
        <f>INDEX(Product!$A$1:$G$49,MATCH(orders!$D983,Product!$A$1:$A$49,0),MATCH(orders!K$1,Product!$A$1:$G$1,0))</f>
        <v>0.2</v>
      </c>
      <c r="L983" s="5">
        <f>INDEX(Product!$A$1:$G$49,MATCH(orders!$D983,Product!$A$1:$A$49,0),MATCH(orders!L$1,Product!$A$1:$G$1,0))</f>
        <v>3.645</v>
      </c>
      <c r="M983" s="5">
        <f t="shared" si="15"/>
        <v>21.87</v>
      </c>
      <c r="N983" t="str" cm="1">
        <f t="array" ref="N983">_xlfn.IFS(I983="Rob", "Robusta", I983="Exc", "Excelsa", I983="Ara", "Arabica", I983="Lib", "Liberica", TRUE, "")</f>
        <v>Excelsa</v>
      </c>
      <c r="O983" t="str" cm="1">
        <f t="array" ref="O983">_xlfn.IFS(J983="M", "Medium", J983="L", "Light", J983="D", "Dark", TRUE, "")</f>
        <v>Dark</v>
      </c>
      <c r="P983" t="str">
        <f>_xlfn.XLOOKUP(Table1[[#This Row],[Customer ID]], customers!$A$1:$A$1001, customers!$I$1:$I$1001,, 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INDEX(Product!$A$1:$G$49,MATCH(orders!$D984,Product!$A$1:$A$49,0),MATCH(orders!I$1,Product!$A$1:$G$1,0))</f>
        <v>Rob</v>
      </c>
      <c r="J984" t="str">
        <f>INDEX(Product!$A$1:$G$49,MATCH(orders!$D984,Product!$A$1:$A$49,0),MATCH(orders!J$1,Product!$A$1:$G$1,0))</f>
        <v>L</v>
      </c>
      <c r="K984" s="4">
        <f>INDEX(Product!$A$1:$G$49,MATCH(orders!$D984,Product!$A$1:$A$49,0),MATCH(orders!K$1,Product!$A$1:$G$1,0))</f>
        <v>1</v>
      </c>
      <c r="L984" s="5">
        <f>INDEX(Product!$A$1:$G$49,MATCH(orders!$D984,Product!$A$1:$A$49,0),MATCH(orders!L$1,Product!$A$1:$G$1,0))</f>
        <v>11.95</v>
      </c>
      <c r="M984" s="5">
        <f t="shared" si="15"/>
        <v>23.9</v>
      </c>
      <c r="N984" t="str" cm="1">
        <f t="array" ref="N984">_xlfn.IFS(I984="Rob", "Robusta", I984="Exc", "Excelsa", I984="Ara", "Arabica", I984="Lib", "Liberica", TRUE, "")</f>
        <v>Robusta</v>
      </c>
      <c r="O984" t="str" cm="1">
        <f t="array" ref="O984">_xlfn.IFS(J984="M", "Medium", J984="L", "Light", J984="D", "Dark", TRUE, "")</f>
        <v>Light</v>
      </c>
      <c r="P984" t="str">
        <f>_xlfn.XLOOKUP(Table1[[#This Row],[Customer ID]], customers!$A$1:$A$1001, customers!$I$1:$I$1001,, 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INDEX(Product!$A$1:$G$49,MATCH(orders!$D985,Product!$A$1:$A$49,0),MATCH(orders!I$1,Product!$A$1:$G$1,0))</f>
        <v>Ara</v>
      </c>
      <c r="J985" t="str">
        <f>INDEX(Product!$A$1:$G$49,MATCH(orders!$D985,Product!$A$1:$A$49,0),MATCH(orders!J$1,Product!$A$1:$G$1,0))</f>
        <v>M</v>
      </c>
      <c r="K985" s="4">
        <f>INDEX(Product!$A$1:$G$49,MATCH(orders!$D985,Product!$A$1:$A$49,0),MATCH(orders!K$1,Product!$A$1:$G$1,0))</f>
        <v>0.2</v>
      </c>
      <c r="L985" s="5">
        <f>INDEX(Product!$A$1:$G$49,MATCH(orders!$D985,Product!$A$1:$A$49,0),MATCH(orders!L$1,Product!$A$1:$G$1,0))</f>
        <v>3.375</v>
      </c>
      <c r="M985" s="5">
        <f t="shared" si="15"/>
        <v>6.75</v>
      </c>
      <c r="N985" t="str" cm="1">
        <f t="array" ref="N985">_xlfn.IFS(I985="Rob", "Robusta", I985="Exc", "Excelsa", I985="Ara", "Arabica", I985="Lib", "Liberica", TRUE, "")</f>
        <v>Arabica</v>
      </c>
      <c r="O985" t="str" cm="1">
        <f t="array" ref="O985">_xlfn.IFS(J985="M", "Medium", J985="L", "Light", J985="D", "Dark", TRUE, "")</f>
        <v>Medium</v>
      </c>
      <c r="P985" t="str">
        <f>_xlfn.XLOOKUP(Table1[[#This Row],[Customer ID]], customers!$A$1:$A$1001, customers!$I$1:$I$1001,, 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INDEX(Product!$A$1:$G$49,MATCH(orders!$D986,Product!$A$1:$A$49,0),MATCH(orders!I$1,Product!$A$1:$G$1,0))</f>
        <v>Exc</v>
      </c>
      <c r="J986" t="str">
        <f>INDEX(Product!$A$1:$G$49,MATCH(orders!$D986,Product!$A$1:$A$49,0),MATCH(orders!J$1,Product!$A$1:$G$1,0))</f>
        <v>M</v>
      </c>
      <c r="K986" s="4">
        <f>INDEX(Product!$A$1:$G$49,MATCH(orders!$D986,Product!$A$1:$A$49,0),MATCH(orders!K$1,Product!$A$1:$G$1,0))</f>
        <v>2.5</v>
      </c>
      <c r="L986" s="5">
        <f>INDEX(Product!$A$1:$G$49,MATCH(orders!$D986,Product!$A$1:$A$49,0),MATCH(orders!L$1,Product!$A$1:$G$1,0))</f>
        <v>31.624999999999996</v>
      </c>
      <c r="M986" s="5">
        <f t="shared" si="15"/>
        <v>31.624999999999996</v>
      </c>
      <c r="N986" t="str" cm="1">
        <f t="array" ref="N986">_xlfn.IFS(I986="Rob", "Robusta", I986="Exc", "Excelsa", I986="Ara", "Arabica", I986="Lib", "Liberica", TRUE, "")</f>
        <v>Excelsa</v>
      </c>
      <c r="O986" t="str" cm="1">
        <f t="array" ref="O986">_xlfn.IFS(J986="M", "Medium", J986="L", "Light", J986="D", "Dark", TRUE, "")</f>
        <v>Medium</v>
      </c>
      <c r="P986" t="str">
        <f>_xlfn.XLOOKUP(Table1[[#This Row],[Customer ID]], customers!$A$1:$A$1001, customers!$I$1:$I$1001,, 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INDEX(Product!$A$1:$G$49,MATCH(orders!$D987,Product!$A$1:$A$49,0),MATCH(orders!I$1,Product!$A$1:$G$1,0))</f>
        <v>Rob</v>
      </c>
      <c r="J987" t="str">
        <f>INDEX(Product!$A$1:$G$49,MATCH(orders!$D987,Product!$A$1:$A$49,0),MATCH(orders!J$1,Product!$A$1:$G$1,0))</f>
        <v>L</v>
      </c>
      <c r="K987" s="4">
        <f>INDEX(Product!$A$1:$G$49,MATCH(orders!$D987,Product!$A$1:$A$49,0),MATCH(orders!K$1,Product!$A$1:$G$1,0))</f>
        <v>1</v>
      </c>
      <c r="L987" s="5">
        <f>INDEX(Product!$A$1:$G$49,MATCH(orders!$D987,Product!$A$1:$A$49,0),MATCH(orders!L$1,Product!$A$1:$G$1,0))</f>
        <v>11.95</v>
      </c>
      <c r="M987" s="5">
        <f t="shared" si="15"/>
        <v>47.8</v>
      </c>
      <c r="N987" t="str" cm="1">
        <f t="array" ref="N987">_xlfn.IFS(I987="Rob", "Robusta", I987="Exc", "Excelsa", I987="Ara", "Arabica", I987="Lib", "Liberica", TRUE, "")</f>
        <v>Robusta</v>
      </c>
      <c r="O987" t="str" cm="1">
        <f t="array" ref="O987">_xlfn.IFS(J987="M", "Medium", J987="L", "Light", J987="D", "Dark", TRUE, "")</f>
        <v>Light</v>
      </c>
      <c r="P987" t="str">
        <f>_xlfn.XLOOKUP(Table1[[#This Row],[Customer ID]], customers!$A$1:$A$1001, customers!$I$1:$I$1001,, 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INDEX(Product!$A$1:$G$49,MATCH(orders!$D988,Product!$A$1:$A$49,0),MATCH(orders!I$1,Product!$A$1:$G$1,0))</f>
        <v>Lib</v>
      </c>
      <c r="J988" t="str">
        <f>INDEX(Product!$A$1:$G$49,MATCH(orders!$D988,Product!$A$1:$A$49,0),MATCH(orders!J$1,Product!$A$1:$G$1,0))</f>
        <v>M</v>
      </c>
      <c r="K988" s="4">
        <f>INDEX(Product!$A$1:$G$49,MATCH(orders!$D988,Product!$A$1:$A$49,0),MATCH(orders!K$1,Product!$A$1:$G$1,0))</f>
        <v>2.5</v>
      </c>
      <c r="L988" s="5">
        <f>INDEX(Product!$A$1:$G$49,MATCH(orders!$D988,Product!$A$1:$A$49,0),MATCH(orders!L$1,Product!$A$1:$G$1,0))</f>
        <v>33.464999999999996</v>
      </c>
      <c r="M988" s="5">
        <f t="shared" si="15"/>
        <v>33.464999999999996</v>
      </c>
      <c r="N988" t="str" cm="1">
        <f t="array" ref="N988">_xlfn.IFS(I988="Rob", "Robusta", I988="Exc", "Excelsa", I988="Ara", "Arabica", I988="Lib", "Liberica", TRUE, "")</f>
        <v>Liberica</v>
      </c>
      <c r="O988" t="str" cm="1">
        <f t="array" ref="O988">_xlfn.IFS(J988="M", "Medium", J988="L", "Light", J988="D", "Dark", TRUE, "")</f>
        <v>Medium</v>
      </c>
      <c r="P988" t="str">
        <f>_xlfn.XLOOKUP(Table1[[#This Row],[Customer ID]], customers!$A$1:$A$1001, customers!$I$1:$I$1001,, 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INDEX(Product!$A$1:$G$49,MATCH(orders!$D989,Product!$A$1:$A$49,0),MATCH(orders!I$1,Product!$A$1:$G$1,0))</f>
        <v>Ara</v>
      </c>
      <c r="J989" t="str">
        <f>INDEX(Product!$A$1:$G$49,MATCH(orders!$D989,Product!$A$1:$A$49,0),MATCH(orders!J$1,Product!$A$1:$G$1,0))</f>
        <v>D</v>
      </c>
      <c r="K989" s="4">
        <f>INDEX(Product!$A$1:$G$49,MATCH(orders!$D989,Product!$A$1:$A$49,0),MATCH(orders!K$1,Product!$A$1:$G$1,0))</f>
        <v>0.5</v>
      </c>
      <c r="L989" s="5">
        <f>INDEX(Product!$A$1:$G$49,MATCH(orders!$D989,Product!$A$1:$A$49,0),MATCH(orders!L$1,Product!$A$1:$G$1,0))</f>
        <v>5.97</v>
      </c>
      <c r="M989" s="5">
        <f t="shared" si="15"/>
        <v>29.849999999999998</v>
      </c>
      <c r="N989" t="str" cm="1">
        <f t="array" ref="N989">_xlfn.IFS(I989="Rob", "Robusta", I989="Exc", "Excelsa", I989="Ara", "Arabica", I989="Lib", "Liberica", TRUE, "")</f>
        <v>Arabica</v>
      </c>
      <c r="O989" t="str" cm="1">
        <f t="array" ref="O989">_xlfn.IFS(J989="M", "Medium", J989="L", "Light", J989="D", "Dark", TRUE, "")</f>
        <v>Dark</v>
      </c>
      <c r="P989" t="str">
        <f>_xlfn.XLOOKUP(Table1[[#This Row],[Customer ID]], customers!$A$1:$A$1001, customers!$I$1:$I$1001,, 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INDEX(Product!$A$1:$G$49,MATCH(orders!$D990,Product!$A$1:$A$49,0),MATCH(orders!I$1,Product!$A$1:$G$1,0))</f>
        <v>Rob</v>
      </c>
      <c r="J990" t="str">
        <f>INDEX(Product!$A$1:$G$49,MATCH(orders!$D990,Product!$A$1:$A$49,0),MATCH(orders!J$1,Product!$A$1:$G$1,0))</f>
        <v>M</v>
      </c>
      <c r="K990" s="4">
        <f>INDEX(Product!$A$1:$G$49,MATCH(orders!$D990,Product!$A$1:$A$49,0),MATCH(orders!K$1,Product!$A$1:$G$1,0))</f>
        <v>1</v>
      </c>
      <c r="L990" s="5">
        <f>INDEX(Product!$A$1:$G$49,MATCH(orders!$D990,Product!$A$1:$A$49,0),MATCH(orders!L$1,Product!$A$1:$G$1,0))</f>
        <v>9.9499999999999993</v>
      </c>
      <c r="M990" s="5">
        <f t="shared" si="15"/>
        <v>29.849999999999998</v>
      </c>
      <c r="N990" t="str" cm="1">
        <f t="array" ref="N990">_xlfn.IFS(I990="Rob", "Robusta", I990="Exc", "Excelsa", I990="Ara", "Arabica", I990="Lib", "Liberica", TRUE, "")</f>
        <v>Robusta</v>
      </c>
      <c r="O990" t="str" cm="1">
        <f t="array" ref="O990">_xlfn.IFS(J990="M", "Medium", J990="L", "Light", J990="D", "Dark", TRUE, "")</f>
        <v>Medium</v>
      </c>
      <c r="P990" t="str">
        <f>_xlfn.XLOOKUP(Table1[[#This Row],[Customer ID]], customers!$A$1:$A$1001, customers!$I$1:$I$1001,, 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INDEX(Product!$A$1:$G$49,MATCH(orders!$D991,Product!$A$1:$A$49,0),MATCH(orders!I$1,Product!$A$1:$G$1,0))</f>
        <v>Ara</v>
      </c>
      <c r="J991" t="str">
        <f>INDEX(Product!$A$1:$G$49,MATCH(orders!$D991,Product!$A$1:$A$49,0),MATCH(orders!J$1,Product!$A$1:$G$1,0))</f>
        <v>M</v>
      </c>
      <c r="K991" s="4">
        <f>INDEX(Product!$A$1:$G$49,MATCH(orders!$D991,Product!$A$1:$A$49,0),MATCH(orders!K$1,Product!$A$1:$G$1,0))</f>
        <v>2.5</v>
      </c>
      <c r="L991" s="5">
        <f>INDEX(Product!$A$1:$G$49,MATCH(orders!$D991,Product!$A$1:$A$49,0),MATCH(orders!L$1,Product!$A$1:$G$1,0))</f>
        <v>25.874999999999996</v>
      </c>
      <c r="M991" s="5">
        <f t="shared" si="15"/>
        <v>155.24999999999997</v>
      </c>
      <c r="N991" t="str" cm="1">
        <f t="array" ref="N991">_xlfn.IFS(I991="Rob", "Robusta", I991="Exc", "Excelsa", I991="Ara", "Arabica", I991="Lib", "Liberica", TRUE, "")</f>
        <v>Arabica</v>
      </c>
      <c r="O991" t="str" cm="1">
        <f t="array" ref="O991">_xlfn.IFS(J991="M", "Medium", J991="L", "Light", J991="D", "Dark", TRUE, "")</f>
        <v>Medium</v>
      </c>
      <c r="P991" t="str">
        <f>_xlfn.XLOOKUP(Table1[[#This Row],[Customer ID]], customers!$A$1:$A$1001, customers!$I$1:$I$1001,, 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INDEX(Product!$A$1:$G$49,MATCH(orders!$D992,Product!$A$1:$A$49,0),MATCH(orders!I$1,Product!$A$1:$G$1,0))</f>
        <v>Exc</v>
      </c>
      <c r="J992" t="str">
        <f>INDEX(Product!$A$1:$G$49,MATCH(orders!$D992,Product!$A$1:$A$49,0),MATCH(orders!J$1,Product!$A$1:$G$1,0))</f>
        <v>D</v>
      </c>
      <c r="K992" s="4">
        <f>INDEX(Product!$A$1:$G$49,MATCH(orders!$D992,Product!$A$1:$A$49,0),MATCH(orders!K$1,Product!$A$1:$G$1,0))</f>
        <v>0.2</v>
      </c>
      <c r="L992" s="5">
        <f>INDEX(Product!$A$1:$G$49,MATCH(orders!$D992,Product!$A$1:$A$49,0),MATCH(orders!L$1,Product!$A$1:$G$1,0))</f>
        <v>3.645</v>
      </c>
      <c r="M992" s="5">
        <f t="shared" si="15"/>
        <v>18.225000000000001</v>
      </c>
      <c r="N992" t="str" cm="1">
        <f t="array" ref="N992">_xlfn.IFS(I992="Rob", "Robusta", I992="Exc", "Excelsa", I992="Ara", "Arabica", I992="Lib", "Liberica", TRUE, "")</f>
        <v>Excelsa</v>
      </c>
      <c r="O992" t="str" cm="1">
        <f t="array" ref="O992">_xlfn.IFS(J992="M", "Medium", J992="L", "Light", J992="D", "Dark", TRUE, "")</f>
        <v>Dark</v>
      </c>
      <c r="P992" t="str">
        <f>_xlfn.XLOOKUP(Table1[[#This Row],[Customer ID]], customers!$A$1:$A$1001, customers!$I$1:$I$1001,, 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INDEX(Product!$A$1:$G$49,MATCH(orders!$D993,Product!$A$1:$A$49,0),MATCH(orders!I$1,Product!$A$1:$G$1,0))</f>
        <v>Lib</v>
      </c>
      <c r="J993" t="str">
        <f>INDEX(Product!$A$1:$G$49,MATCH(orders!$D993,Product!$A$1:$A$49,0),MATCH(orders!J$1,Product!$A$1:$G$1,0))</f>
        <v>D</v>
      </c>
      <c r="K993" s="4">
        <f>INDEX(Product!$A$1:$G$49,MATCH(orders!$D993,Product!$A$1:$A$49,0),MATCH(orders!K$1,Product!$A$1:$G$1,0))</f>
        <v>0.5</v>
      </c>
      <c r="L993" s="5">
        <f>INDEX(Product!$A$1:$G$49,MATCH(orders!$D993,Product!$A$1:$A$49,0),MATCH(orders!L$1,Product!$A$1:$G$1,0))</f>
        <v>7.77</v>
      </c>
      <c r="M993" s="5">
        <f t="shared" si="15"/>
        <v>15.54</v>
      </c>
      <c r="N993" t="str" cm="1">
        <f t="array" ref="N993">_xlfn.IFS(I993="Rob", "Robusta", I993="Exc", "Excelsa", I993="Ara", "Arabica", I993="Lib", "Liberica", TRUE, "")</f>
        <v>Liberica</v>
      </c>
      <c r="O993" t="str" cm="1">
        <f t="array" ref="O993">_xlfn.IFS(J993="M", "Medium", J993="L", "Light", J993="D", "Dark", TRUE, "")</f>
        <v>Dark</v>
      </c>
      <c r="P993" t="str">
        <f>_xlfn.XLOOKUP(Table1[[#This Row],[Customer ID]], customers!$A$1:$A$1001, customers!$I$1:$I$1001,, 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INDEX(Product!$A$1:$G$49,MATCH(orders!$D994,Product!$A$1:$A$49,0),MATCH(orders!I$1,Product!$A$1:$G$1,0))</f>
        <v>Lib</v>
      </c>
      <c r="J994" t="str">
        <f>INDEX(Product!$A$1:$G$49,MATCH(orders!$D994,Product!$A$1:$A$49,0),MATCH(orders!J$1,Product!$A$1:$G$1,0))</f>
        <v>L</v>
      </c>
      <c r="K994" s="4">
        <f>INDEX(Product!$A$1:$G$49,MATCH(orders!$D994,Product!$A$1:$A$49,0),MATCH(orders!K$1,Product!$A$1:$G$1,0))</f>
        <v>2.5</v>
      </c>
      <c r="L994" s="5">
        <f>INDEX(Product!$A$1:$G$49,MATCH(orders!$D994,Product!$A$1:$A$49,0),MATCH(orders!L$1,Product!$A$1:$G$1,0))</f>
        <v>36.454999999999998</v>
      </c>
      <c r="M994" s="5">
        <f t="shared" si="15"/>
        <v>109.36499999999999</v>
      </c>
      <c r="N994" t="str" cm="1">
        <f t="array" ref="N994">_xlfn.IFS(I994="Rob", "Robusta", I994="Exc", "Excelsa", I994="Ara", "Arabica", I994="Lib", "Liberica", TRUE, "")</f>
        <v>Liberica</v>
      </c>
      <c r="O994" t="str" cm="1">
        <f t="array" ref="O994">_xlfn.IFS(J994="M", "Medium", J994="L", "Light", J994="D", "Dark", TRUE, "")</f>
        <v>Light</v>
      </c>
      <c r="P994" t="str">
        <f>_xlfn.XLOOKUP(Table1[[#This Row],[Customer ID]], customers!$A$1:$A$1001, customers!$I$1:$I$1001,, 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INDEX(Product!$A$1:$G$49,MATCH(orders!$D995,Product!$A$1:$A$49,0),MATCH(orders!I$1,Product!$A$1:$G$1,0))</f>
        <v>Ara</v>
      </c>
      <c r="J995" t="str">
        <f>INDEX(Product!$A$1:$G$49,MATCH(orders!$D995,Product!$A$1:$A$49,0),MATCH(orders!J$1,Product!$A$1:$G$1,0))</f>
        <v>L</v>
      </c>
      <c r="K995" s="4">
        <f>INDEX(Product!$A$1:$G$49,MATCH(orders!$D995,Product!$A$1:$A$49,0),MATCH(orders!K$1,Product!$A$1:$G$1,0))</f>
        <v>1</v>
      </c>
      <c r="L995" s="5">
        <f>INDEX(Product!$A$1:$G$49,MATCH(orders!$D995,Product!$A$1:$A$49,0),MATCH(orders!L$1,Product!$A$1:$G$1,0))</f>
        <v>12.95</v>
      </c>
      <c r="M995" s="5">
        <f t="shared" si="15"/>
        <v>77.699999999999989</v>
      </c>
      <c r="N995" t="str" cm="1">
        <f t="array" ref="N995">_xlfn.IFS(I995="Rob", "Robusta", I995="Exc", "Excelsa", I995="Ara", "Arabica", I995="Lib", "Liberica", TRUE, "")</f>
        <v>Arabica</v>
      </c>
      <c r="O995" t="str" cm="1">
        <f t="array" ref="O995">_xlfn.IFS(J995="M", "Medium", J995="L", "Light", J995="D", "Dark", TRUE, "")</f>
        <v>Light</v>
      </c>
      <c r="P995" t="str">
        <f>_xlfn.XLOOKUP(Table1[[#This Row],[Customer ID]], customers!$A$1:$A$1001, customers!$I$1:$I$1001,, 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INDEX(Product!$A$1:$G$49,MATCH(orders!$D996,Product!$A$1:$A$49,0),MATCH(orders!I$1,Product!$A$1:$G$1,0))</f>
        <v>Ara</v>
      </c>
      <c r="J996" t="str">
        <f>INDEX(Product!$A$1:$G$49,MATCH(orders!$D996,Product!$A$1:$A$49,0),MATCH(orders!J$1,Product!$A$1:$G$1,0))</f>
        <v>D</v>
      </c>
      <c r="K996" s="4">
        <f>INDEX(Product!$A$1:$G$49,MATCH(orders!$D996,Product!$A$1:$A$49,0),MATCH(orders!K$1,Product!$A$1:$G$1,0))</f>
        <v>0.2</v>
      </c>
      <c r="L996" s="5">
        <f>INDEX(Product!$A$1:$G$49,MATCH(orders!$D996,Product!$A$1:$A$49,0),MATCH(orders!L$1,Product!$A$1:$G$1,0))</f>
        <v>2.9849999999999999</v>
      </c>
      <c r="M996" s="5">
        <f t="shared" si="15"/>
        <v>8.9550000000000001</v>
      </c>
      <c r="N996" t="str" cm="1">
        <f t="array" ref="N996">_xlfn.IFS(I996="Rob", "Robusta", I996="Exc", "Excelsa", I996="Ara", "Arabica", I996="Lib", "Liberica", TRUE, "")</f>
        <v>Arabica</v>
      </c>
      <c r="O996" t="str" cm="1">
        <f t="array" ref="O996">_xlfn.IFS(J996="M", "Medium", J996="L", "Light", J996="D", "Dark", TRUE, "")</f>
        <v>Dark</v>
      </c>
      <c r="P996" t="str">
        <f>_xlfn.XLOOKUP(Table1[[#This Row],[Customer ID]], customers!$A$1:$A$1001, customers!$I$1:$I$1001,, 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INDEX(Product!$A$1:$G$49,MATCH(orders!$D997,Product!$A$1:$A$49,0),MATCH(orders!I$1,Product!$A$1:$G$1,0))</f>
        <v>Rob</v>
      </c>
      <c r="J997" t="str">
        <f>INDEX(Product!$A$1:$G$49,MATCH(orders!$D997,Product!$A$1:$A$49,0),MATCH(orders!J$1,Product!$A$1:$G$1,0))</f>
        <v>L</v>
      </c>
      <c r="K997" s="4">
        <f>INDEX(Product!$A$1:$G$49,MATCH(orders!$D997,Product!$A$1:$A$49,0),MATCH(orders!K$1,Product!$A$1:$G$1,0))</f>
        <v>2.5</v>
      </c>
      <c r="L997" s="5">
        <f>INDEX(Product!$A$1:$G$49,MATCH(orders!$D997,Product!$A$1:$A$49,0),MATCH(orders!L$1,Product!$A$1:$G$1,0))</f>
        <v>27.484999999999996</v>
      </c>
      <c r="M997" s="5">
        <f t="shared" si="15"/>
        <v>27.484999999999996</v>
      </c>
      <c r="N997" t="str" cm="1">
        <f t="array" ref="N997">_xlfn.IFS(I997="Rob", "Robusta", I997="Exc", "Excelsa", I997="Ara", "Arabica", I997="Lib", "Liberica", TRUE, "")</f>
        <v>Robusta</v>
      </c>
      <c r="O997" t="str" cm="1">
        <f t="array" ref="O997">_xlfn.IFS(J997="M", "Medium", J997="L", "Light", J997="D", "Dark", TRUE, "")</f>
        <v>Light</v>
      </c>
      <c r="P997" t="str">
        <f>_xlfn.XLOOKUP(Table1[[#This Row],[Customer ID]], customers!$A$1:$A$1001, customers!$I$1:$I$1001,, 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INDEX(Product!$A$1:$G$49,MATCH(orders!$D998,Product!$A$1:$A$49,0),MATCH(orders!I$1,Product!$A$1:$G$1,0))</f>
        <v>Rob</v>
      </c>
      <c r="J998" t="str">
        <f>INDEX(Product!$A$1:$G$49,MATCH(orders!$D998,Product!$A$1:$A$49,0),MATCH(orders!J$1,Product!$A$1:$G$1,0))</f>
        <v>M</v>
      </c>
      <c r="K998" s="4">
        <f>INDEX(Product!$A$1:$G$49,MATCH(orders!$D998,Product!$A$1:$A$49,0),MATCH(orders!K$1,Product!$A$1:$G$1,0))</f>
        <v>0.5</v>
      </c>
      <c r="L998" s="5">
        <f>INDEX(Product!$A$1:$G$49,MATCH(orders!$D998,Product!$A$1:$A$49,0),MATCH(orders!L$1,Product!$A$1:$G$1,0))</f>
        <v>5.97</v>
      </c>
      <c r="M998" s="5">
        <f t="shared" si="15"/>
        <v>29.849999999999998</v>
      </c>
      <c r="N998" t="str" cm="1">
        <f t="array" ref="N998">_xlfn.IFS(I998="Rob", "Robusta", I998="Exc", "Excelsa", I998="Ara", "Arabica", I998="Lib", "Liberica", TRUE, "")</f>
        <v>Robusta</v>
      </c>
      <c r="O998" t="str" cm="1">
        <f t="array" ref="O998">_xlfn.IFS(J998="M", "Medium", J998="L", "Light", J998="D", "Dark", TRUE, "")</f>
        <v>Medium</v>
      </c>
      <c r="P998" t="str">
        <f>_xlfn.XLOOKUP(Table1[[#This Row],[Customer ID]], customers!$A$1:$A$1001, customers!$I$1:$I$1001,, 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INDEX(Product!$A$1:$G$49,MATCH(orders!$D999,Product!$A$1:$A$49,0),MATCH(orders!I$1,Product!$A$1:$G$1,0))</f>
        <v>Ara</v>
      </c>
      <c r="J999" t="str">
        <f>INDEX(Product!$A$1:$G$49,MATCH(orders!$D999,Product!$A$1:$A$49,0),MATCH(orders!J$1,Product!$A$1:$G$1,0))</f>
        <v>M</v>
      </c>
      <c r="K999" s="4">
        <f>INDEX(Product!$A$1:$G$49,MATCH(orders!$D999,Product!$A$1:$A$49,0),MATCH(orders!K$1,Product!$A$1:$G$1,0))</f>
        <v>0.5</v>
      </c>
      <c r="L999" s="5">
        <f>INDEX(Product!$A$1:$G$49,MATCH(orders!$D999,Product!$A$1:$A$49,0),MATCH(orders!L$1,Product!$A$1:$G$1,0))</f>
        <v>6.75</v>
      </c>
      <c r="M999" s="5">
        <f t="shared" si="15"/>
        <v>27</v>
      </c>
      <c r="N999" t="str" cm="1">
        <f t="array" ref="N999">_xlfn.IFS(I999="Rob", "Robusta", I999="Exc", "Excelsa", I999="Ara", "Arabica", I999="Lib", "Liberica", TRUE, "")</f>
        <v>Arabica</v>
      </c>
      <c r="O999" t="str" cm="1">
        <f t="array" ref="O999">_xlfn.IFS(J999="M", "Medium", J999="L", "Light", J999="D", "Dark", TRUE, "")</f>
        <v>Medium</v>
      </c>
      <c r="P999" t="str">
        <f>_xlfn.XLOOKUP(Table1[[#This Row],[Customer ID]], customers!$A$1:$A$1001, customers!$I$1:$I$1001,, 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INDEX(Product!$A$1:$G$49,MATCH(orders!$D1000,Product!$A$1:$A$49,0),MATCH(orders!I$1,Product!$A$1:$G$1,0))</f>
        <v>Ara</v>
      </c>
      <c r="J1000" t="str">
        <f>INDEX(Product!$A$1:$G$49,MATCH(orders!$D1000,Product!$A$1:$A$49,0),MATCH(orders!J$1,Product!$A$1:$G$1,0))</f>
        <v>D</v>
      </c>
      <c r="K1000" s="4">
        <f>INDEX(Product!$A$1:$G$49,MATCH(orders!$D1000,Product!$A$1:$A$49,0),MATCH(orders!K$1,Product!$A$1:$G$1,0))</f>
        <v>1</v>
      </c>
      <c r="L1000" s="5">
        <f>INDEX(Product!$A$1:$G$49,MATCH(orders!$D1000,Product!$A$1:$A$49,0),MATCH(orders!L$1,Product!$A$1:$G$1,0))</f>
        <v>9.9499999999999993</v>
      </c>
      <c r="M1000" s="5">
        <f t="shared" si="15"/>
        <v>9.9499999999999993</v>
      </c>
      <c r="N1000" t="str" cm="1">
        <f t="array" ref="N1000">_xlfn.IFS(I1000="Rob", "Robusta", I1000="Exc", "Excelsa", I1000="Ara", "Arabica", I1000="Lib", "Liberica", TRUE, "")</f>
        <v>Arabica</v>
      </c>
      <c r="O1000" t="str" cm="1">
        <f t="array" ref="O1000">_xlfn.IFS(J1000="M", "Medium", J1000="L", "Light", J1000="D", "Dark", TRUE, "")</f>
        <v>Dark</v>
      </c>
      <c r="P1000" t="str">
        <f>_xlfn.XLOOKUP(Table1[[#This Row],[Customer ID]], customers!$A$1:$A$1001, customers!$I$1:$I$1001,, 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INDEX(Product!$A$1:$G$49,MATCH(orders!$D1001,Product!$A$1:$A$49,0),MATCH(orders!I$1,Product!$A$1:$G$1,0))</f>
        <v>Exc</v>
      </c>
      <c r="J1001" t="str">
        <f>INDEX(Product!$A$1:$G$49,MATCH(orders!$D1001,Product!$A$1:$A$49,0),MATCH(orders!J$1,Product!$A$1:$G$1,0))</f>
        <v>M</v>
      </c>
      <c r="K1001" s="4">
        <f>INDEX(Product!$A$1:$G$49,MATCH(orders!$D1001,Product!$A$1:$A$49,0),MATCH(orders!K$1,Product!$A$1:$G$1,0))</f>
        <v>0.2</v>
      </c>
      <c r="L1001" s="5">
        <f>INDEX(Product!$A$1:$G$49,MATCH(orders!$D1001,Product!$A$1:$A$49,0),MATCH(orders!L$1,Product!$A$1:$G$1,0))</f>
        <v>4.125</v>
      </c>
      <c r="M1001" s="5">
        <f t="shared" si="15"/>
        <v>12.375</v>
      </c>
      <c r="N1001" t="str" cm="1">
        <f t="array" ref="N1001">_xlfn.IFS(I1001="Rob", "Robusta", I1001="Exc", "Excelsa", I1001="Ara", "Arabica", I1001="Lib", "Liberica", TRUE, "")</f>
        <v>Excelsa</v>
      </c>
      <c r="O1001" t="str" cm="1">
        <f t="array" ref="O1001">_xlfn.IFS(J1001="M", "Medium", J1001="L", "Light", J1001="D", "Dark", TRUE, "")</f>
        <v>Medium</v>
      </c>
      <c r="P1001" t="str">
        <f>_xlfn.XLOOKUP(Table1[[#This Row],[Customer ID]], customers!$A$1:$A$1001, customers!$I$1:$I$1001,, 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election activeCell="B1" sqref="B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orders</vt:lpstr>
      <vt:lpstr>customers</vt:lpstr>
      <vt:lpstr>Product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JATIN YADAV</cp:lastModifiedBy>
  <cp:revision/>
  <dcterms:created xsi:type="dcterms:W3CDTF">2022-11-26T09:51:45Z</dcterms:created>
  <dcterms:modified xsi:type="dcterms:W3CDTF">2026-10-23T12:42:36Z</dcterms:modified>
  <cp:category/>
  <cp:contentStatus/>
</cp:coreProperties>
</file>